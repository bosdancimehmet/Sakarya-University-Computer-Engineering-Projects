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furka\OneDrive\Desktop\"/>
    </mc:Choice>
  </mc:AlternateContent>
  <xr:revisionPtr revIDLastSave="0" documentId="8_{9D757953-9C64-424D-9B62-7AEAEB384B7E}" xr6:coauthVersionLast="47" xr6:coauthVersionMax="47" xr10:uidLastSave="{00000000-0000-0000-0000-000000000000}"/>
  <bookViews>
    <workbookView xWindow="-120" yWindow="-120" windowWidth="29040" windowHeight="15720" firstSheet="6" activeTab="6" xr2:uid="{00000000-000D-0000-FFFF-FFFF00000000}"/>
  </bookViews>
  <sheets>
    <sheet name="Sayfa1" sheetId="1" r:id="rId1"/>
    <sheet name="Sayfa2" sheetId="2" r:id="rId2"/>
    <sheet name="Sayfa3" sheetId="3" r:id="rId3"/>
    <sheet name="Sayfa4" sheetId="4" r:id="rId4"/>
    <sheet name="Sayfa5" sheetId="5" r:id="rId5"/>
    <sheet name="Sayfa6" sheetId="6" r:id="rId6"/>
    <sheet name="Sayfa7" sheetId="7" r:id="rId7"/>
  </sheets>
  <definedNames>
    <definedName name="_xlchart.v1.0" hidden="1">Sayfa1!$G$2:$G$13</definedName>
    <definedName name="_xlchart.v1.1" hidden="1">Sayfa1!$H$1</definedName>
    <definedName name="_xlchart.v1.2" hidden="1">Sayfa1!$H$2:$H$13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7" l="1"/>
  <c r="I17" i="7"/>
  <c r="H3" i="7"/>
  <c r="H4" i="7"/>
  <c r="H5" i="7"/>
  <c r="H6" i="7"/>
  <c r="H7" i="7"/>
  <c r="H8" i="7"/>
  <c r="H9" i="7"/>
  <c r="H10" i="7"/>
  <c r="H11" i="7"/>
  <c r="H2" i="7"/>
  <c r="B4" i="7"/>
  <c r="C4" i="7"/>
  <c r="D4" i="7"/>
  <c r="E4" i="7"/>
  <c r="F4" i="7"/>
  <c r="G4" i="7"/>
  <c r="B5" i="7"/>
  <c r="C5" i="7"/>
  <c r="E5" i="7" s="1"/>
  <c r="D5" i="7"/>
  <c r="B6" i="7"/>
  <c r="C6" i="7"/>
  <c r="C7" i="7" s="1"/>
  <c r="D6" i="7"/>
  <c r="B7" i="7"/>
  <c r="D7" i="7"/>
  <c r="B8" i="7"/>
  <c r="D8" i="7"/>
  <c r="B9" i="7"/>
  <c r="D9" i="7"/>
  <c r="B10" i="7"/>
  <c r="D10" i="7"/>
  <c r="B11" i="7"/>
  <c r="D11" i="7"/>
  <c r="G3" i="7"/>
  <c r="F3" i="7"/>
  <c r="E3" i="7"/>
  <c r="D3" i="7"/>
  <c r="C3" i="7"/>
  <c r="B3" i="7"/>
  <c r="F2" i="7"/>
  <c r="E2" i="7"/>
  <c r="D2" i="7"/>
  <c r="C2" i="7"/>
  <c r="B2" i="7"/>
  <c r="E3" i="6"/>
  <c r="E4" i="6"/>
  <c r="E5" i="6"/>
  <c r="E6" i="6"/>
  <c r="E7" i="6"/>
  <c r="E8" i="6"/>
  <c r="E9" i="6"/>
  <c r="E10" i="6"/>
  <c r="E11" i="6"/>
  <c r="C3" i="6"/>
  <c r="C4" i="6"/>
  <c r="C5" i="6"/>
  <c r="C6" i="6"/>
  <c r="C7" i="6"/>
  <c r="C8" i="6"/>
  <c r="C9" i="6"/>
  <c r="C10" i="6"/>
  <c r="C11" i="6"/>
  <c r="E2" i="6"/>
  <c r="C2" i="6"/>
  <c r="F8" i="5"/>
  <c r="H5" i="5"/>
  <c r="F5" i="7" l="1"/>
  <c r="E6" i="7" s="1"/>
  <c r="G5" i="7"/>
  <c r="C8" i="7"/>
  <c r="O15" i="5"/>
  <c r="N15" i="5"/>
  <c r="M15" i="5"/>
  <c r="L15" i="5"/>
  <c r="K15" i="5"/>
  <c r="J15" i="5"/>
  <c r="I15" i="5"/>
  <c r="H15" i="5"/>
  <c r="F15" i="5"/>
  <c r="G15" i="5"/>
  <c r="G14" i="5"/>
  <c r="H14" i="5"/>
  <c r="I14" i="5"/>
  <c r="J14" i="5"/>
  <c r="K14" i="5"/>
  <c r="L14" i="5"/>
  <c r="M14" i="5"/>
  <c r="N14" i="5"/>
  <c r="O14" i="5"/>
  <c r="F14" i="5"/>
  <c r="F5" i="5"/>
  <c r="G5" i="5" s="1"/>
  <c r="C9" i="7" l="1"/>
  <c r="F6" i="7"/>
  <c r="E7" i="7" s="1"/>
  <c r="G6" i="7"/>
  <c r="F19" i="5"/>
  <c r="F18" i="5"/>
  <c r="G8" i="5"/>
  <c r="F7" i="7" l="1"/>
  <c r="E8" i="7" s="1"/>
  <c r="G7" i="7"/>
  <c r="C10" i="7"/>
  <c r="I5" i="5"/>
  <c r="H8" i="5"/>
  <c r="C11" i="7" l="1"/>
  <c r="G8" i="7"/>
  <c r="F8" i="7"/>
  <c r="E9" i="7" s="1"/>
  <c r="I8" i="5"/>
  <c r="J5" i="5"/>
  <c r="K5" i="5" s="1"/>
  <c r="F9" i="7" l="1"/>
  <c r="E10" i="7" s="1"/>
  <c r="G9" i="7"/>
  <c r="L5" i="5"/>
  <c r="K8" i="5"/>
  <c r="J8" i="5"/>
  <c r="G10" i="7" l="1"/>
  <c r="F10" i="7"/>
  <c r="E11" i="7" s="1"/>
  <c r="L8" i="5"/>
  <c r="M5" i="5"/>
  <c r="F11" i="7" l="1"/>
  <c r="G11" i="7"/>
  <c r="N5" i="5"/>
  <c r="M8" i="5"/>
  <c r="N8" i="5" l="1"/>
  <c r="O5" i="5"/>
  <c r="O8" i="5" s="1"/>
  <c r="H10" i="4" l="1"/>
  <c r="H5" i="4"/>
  <c r="H6" i="4"/>
  <c r="H7" i="4"/>
  <c r="H8" i="4"/>
  <c r="H9" i="4"/>
  <c r="H4" i="4"/>
  <c r="H4" i="3"/>
  <c r="G5" i="4"/>
  <c r="G6" i="4"/>
  <c r="G7" i="4"/>
  <c r="G8" i="4"/>
  <c r="G9" i="4"/>
  <c r="G4" i="4"/>
  <c r="G4" i="3"/>
  <c r="F5" i="4"/>
  <c r="F6" i="4"/>
  <c r="F7" i="4"/>
  <c r="F8" i="4"/>
  <c r="F9" i="4"/>
  <c r="E9" i="4"/>
  <c r="E8" i="4"/>
  <c r="E7" i="4"/>
  <c r="E6" i="4"/>
  <c r="E5" i="4"/>
  <c r="E4" i="4"/>
  <c r="F4" i="4" s="1"/>
  <c r="H10" i="3" l="1"/>
  <c r="H9" i="3"/>
  <c r="H5" i="3"/>
  <c r="H6" i="3"/>
  <c r="H7" i="3"/>
  <c r="H8" i="3"/>
  <c r="G5" i="3"/>
  <c r="G6" i="3"/>
  <c r="G7" i="3"/>
  <c r="G8" i="3"/>
  <c r="G9" i="3"/>
  <c r="F9" i="3"/>
  <c r="E9" i="3"/>
  <c r="E8" i="3"/>
  <c r="E7" i="3"/>
  <c r="F7" i="3" s="1"/>
  <c r="E6" i="3"/>
  <c r="E5" i="3"/>
  <c r="F5" i="3" s="1"/>
  <c r="F6" i="3"/>
  <c r="F8" i="3"/>
  <c r="F4" i="3"/>
  <c r="E4" i="3"/>
  <c r="H27" i="1"/>
  <c r="C100" i="2" l="1"/>
  <c r="H2" i="1" a="1"/>
  <c r="H2" i="1" s="1"/>
  <c r="C89" i="2"/>
  <c r="C88" i="2"/>
  <c r="C77" i="2"/>
  <c r="C76" i="2"/>
  <c r="C65" i="2"/>
  <c r="C64" i="2"/>
  <c r="C53" i="2"/>
  <c r="C52" i="2"/>
  <c r="C41" i="2"/>
  <c r="C40" i="2"/>
  <c r="C29" i="2"/>
  <c r="C28" i="2"/>
  <c r="C23" i="2"/>
  <c r="C17" i="2"/>
  <c r="C16" i="2"/>
  <c r="C11" i="2"/>
  <c r="C9" i="2"/>
  <c r="C5" i="2"/>
  <c r="C4" i="2"/>
  <c r="C2" i="2"/>
  <c r="C3" i="2"/>
  <c r="C6" i="2"/>
  <c r="C7" i="2"/>
  <c r="C8" i="2"/>
  <c r="C10" i="2"/>
  <c r="C12" i="2"/>
  <c r="C13" i="2"/>
  <c r="C14" i="2"/>
  <c r="C15" i="2"/>
  <c r="C18" i="2"/>
  <c r="C19" i="2"/>
  <c r="C20" i="2"/>
  <c r="C21" i="2"/>
  <c r="C22" i="2"/>
  <c r="C24" i="2"/>
  <c r="C25" i="2"/>
  <c r="C26" i="2"/>
  <c r="C27" i="2"/>
  <c r="C30" i="2"/>
  <c r="C31" i="2"/>
  <c r="C32" i="2"/>
  <c r="C33" i="2"/>
  <c r="C34" i="2"/>
  <c r="C35" i="2"/>
  <c r="C36" i="2"/>
  <c r="C37" i="2"/>
  <c r="C38" i="2"/>
  <c r="C39" i="2"/>
  <c r="C42" i="2"/>
  <c r="C43" i="2"/>
  <c r="C44" i="2"/>
  <c r="C45" i="2"/>
  <c r="C46" i="2"/>
  <c r="C47" i="2"/>
  <c r="C48" i="2"/>
  <c r="C49" i="2"/>
  <c r="C50" i="2"/>
  <c r="C51" i="2"/>
  <c r="C54" i="2"/>
  <c r="C55" i="2"/>
  <c r="C56" i="2"/>
  <c r="C57" i="2"/>
  <c r="C58" i="2"/>
  <c r="C59" i="2"/>
  <c r="C60" i="2"/>
  <c r="C61" i="2"/>
  <c r="C62" i="2"/>
  <c r="C63" i="2"/>
  <c r="C66" i="2"/>
  <c r="C67" i="2"/>
  <c r="C68" i="2"/>
  <c r="C69" i="2"/>
  <c r="C70" i="2"/>
  <c r="C71" i="2"/>
  <c r="C72" i="2"/>
  <c r="C73" i="2"/>
  <c r="C74" i="2"/>
  <c r="C75" i="2"/>
  <c r="C78" i="2"/>
  <c r="C79" i="2"/>
  <c r="C80" i="2"/>
  <c r="C81" i="2"/>
  <c r="C82" i="2"/>
  <c r="C83" i="2"/>
  <c r="C84" i="2"/>
  <c r="C85" i="2"/>
  <c r="C86" i="2"/>
  <c r="C87" i="2"/>
  <c r="C90" i="2"/>
  <c r="C91" i="2"/>
  <c r="C92" i="2"/>
  <c r="C93" i="2"/>
  <c r="C94" i="2"/>
  <c r="C95" i="2"/>
  <c r="C96" i="2"/>
  <c r="C97" i="2"/>
  <c r="C98" i="2"/>
  <c r="C99" i="2"/>
  <c r="H24" i="1"/>
  <c r="H25" i="1"/>
  <c r="H23" i="1"/>
  <c r="I4" i="1"/>
  <c r="I5" i="1"/>
  <c r="I6" i="1"/>
  <c r="I7" i="1"/>
  <c r="I8" i="1"/>
  <c r="I9" i="1"/>
  <c r="I10" i="1"/>
  <c r="I11" i="1"/>
  <c r="I12" i="1"/>
  <c r="I13" i="1"/>
  <c r="I3" i="1"/>
  <c r="H15" i="1"/>
  <c r="H2" i="2" l="1" a="1"/>
  <c r="H2" i="2" s="1"/>
  <c r="H18" i="2"/>
  <c r="H16" i="2"/>
  <c r="H17" i="2"/>
  <c r="J4" i="1"/>
  <c r="J13" i="1"/>
  <c r="J5" i="1"/>
  <c r="J3" i="1"/>
  <c r="J11" i="1"/>
  <c r="J10" i="1"/>
  <c r="J8" i="1"/>
  <c r="J7" i="1"/>
  <c r="J6" i="1"/>
  <c r="J12" i="1"/>
  <c r="J9" i="1"/>
  <c r="E6" i="1"/>
  <c r="E15" i="1"/>
  <c r="E18" i="1"/>
  <c r="E27" i="1"/>
  <c r="E30" i="1"/>
  <c r="E39" i="1"/>
  <c r="E40" i="1"/>
  <c r="E41" i="1"/>
  <c r="E42" i="1"/>
  <c r="E43" i="1"/>
  <c r="E44" i="1"/>
  <c r="E51" i="1"/>
  <c r="E52" i="1"/>
  <c r="E53" i="1"/>
  <c r="E54" i="1"/>
  <c r="E55" i="1"/>
  <c r="E56" i="1"/>
  <c r="E63" i="1"/>
  <c r="E64" i="1"/>
  <c r="E65" i="1"/>
  <c r="E66" i="1"/>
  <c r="E67" i="1"/>
  <c r="E68" i="1"/>
  <c r="E75" i="1"/>
  <c r="E76" i="1"/>
  <c r="E77" i="1"/>
  <c r="E78" i="1"/>
  <c r="E79" i="1"/>
  <c r="E80" i="1"/>
  <c r="E87" i="1"/>
  <c r="E88" i="1"/>
  <c r="E89" i="1"/>
  <c r="E90" i="1"/>
  <c r="E91" i="1"/>
  <c r="E92" i="1"/>
  <c r="E99" i="1"/>
  <c r="E100" i="1"/>
  <c r="E101" i="1"/>
  <c r="E3" i="1"/>
  <c r="C4" i="1"/>
  <c r="E4" i="1" s="1"/>
  <c r="C5" i="1"/>
  <c r="E5" i="1" s="1"/>
  <c r="C6" i="1"/>
  <c r="C7" i="1"/>
  <c r="E7" i="1" s="1"/>
  <c r="C8" i="1"/>
  <c r="E8" i="1" s="1"/>
  <c r="C9" i="1"/>
  <c r="E9" i="1" s="1"/>
  <c r="C10" i="1"/>
  <c r="E10" i="1" s="1"/>
  <c r="C11" i="1"/>
  <c r="E11" i="1" s="1"/>
  <c r="C12" i="1"/>
  <c r="E12" i="1" s="1"/>
  <c r="C13" i="1"/>
  <c r="E13" i="1" s="1"/>
  <c r="C14" i="1"/>
  <c r="E14" i="1" s="1"/>
  <c r="C15" i="1"/>
  <c r="C16" i="1"/>
  <c r="E16" i="1" s="1"/>
  <c r="C17" i="1"/>
  <c r="E17" i="1" s="1"/>
  <c r="C18" i="1"/>
  <c r="C19" i="1"/>
  <c r="E19" i="1" s="1"/>
  <c r="C20" i="1"/>
  <c r="E20" i="1" s="1"/>
  <c r="C21" i="1"/>
  <c r="E21" i="1" s="1"/>
  <c r="C22" i="1"/>
  <c r="E22" i="1" s="1"/>
  <c r="C23" i="1"/>
  <c r="E23" i="1" s="1"/>
  <c r="C24" i="1"/>
  <c r="E24" i="1" s="1"/>
  <c r="C25" i="1"/>
  <c r="E25" i="1" s="1"/>
  <c r="C26" i="1"/>
  <c r="E26" i="1" s="1"/>
  <c r="C27" i="1"/>
  <c r="C28" i="1"/>
  <c r="E28" i="1" s="1"/>
  <c r="C29" i="1"/>
  <c r="E29" i="1" s="1"/>
  <c r="C30" i="1"/>
  <c r="C31" i="1"/>
  <c r="E31" i="1" s="1"/>
  <c r="C32" i="1"/>
  <c r="E32" i="1" s="1"/>
  <c r="C33" i="1"/>
  <c r="E33" i="1" s="1"/>
  <c r="C34" i="1"/>
  <c r="E34" i="1" s="1"/>
  <c r="C35" i="1"/>
  <c r="E35" i="1" s="1"/>
  <c r="C36" i="1"/>
  <c r="E36" i="1" s="1"/>
  <c r="C37" i="1"/>
  <c r="E37" i="1" s="1"/>
  <c r="C38" i="1"/>
  <c r="E38" i="1" s="1"/>
  <c r="C39" i="1"/>
  <c r="C40" i="1"/>
  <c r="C41" i="1"/>
  <c r="C42" i="1"/>
  <c r="C43" i="1"/>
  <c r="C44" i="1"/>
  <c r="C45" i="1"/>
  <c r="E45" i="1" s="1"/>
  <c r="C46" i="1"/>
  <c r="E46" i="1" s="1"/>
  <c r="C47" i="1"/>
  <c r="E47" i="1" s="1"/>
  <c r="C48" i="1"/>
  <c r="E48" i="1" s="1"/>
  <c r="C49" i="1"/>
  <c r="E49" i="1" s="1"/>
  <c r="C50" i="1"/>
  <c r="E50" i="1" s="1"/>
  <c r="C51" i="1"/>
  <c r="C52" i="1"/>
  <c r="C53" i="1"/>
  <c r="C54" i="1"/>
  <c r="C55" i="1"/>
  <c r="C56" i="1"/>
  <c r="C57" i="1"/>
  <c r="E57" i="1" s="1"/>
  <c r="C58" i="1"/>
  <c r="E58" i="1" s="1"/>
  <c r="C59" i="1"/>
  <c r="E59" i="1" s="1"/>
  <c r="C60" i="1"/>
  <c r="E60" i="1" s="1"/>
  <c r="C61" i="1"/>
  <c r="E61" i="1" s="1"/>
  <c r="C62" i="1"/>
  <c r="E62" i="1" s="1"/>
  <c r="C63" i="1"/>
  <c r="C64" i="1"/>
  <c r="C65" i="1"/>
  <c r="C66" i="1"/>
  <c r="C67" i="1"/>
  <c r="C68" i="1"/>
  <c r="C69" i="1"/>
  <c r="E69" i="1" s="1"/>
  <c r="C70" i="1"/>
  <c r="E70" i="1" s="1"/>
  <c r="C71" i="1"/>
  <c r="E71" i="1" s="1"/>
  <c r="C72" i="1"/>
  <c r="E72" i="1" s="1"/>
  <c r="C73" i="1"/>
  <c r="E73" i="1" s="1"/>
  <c r="C74" i="1"/>
  <c r="E74" i="1" s="1"/>
  <c r="C75" i="1"/>
  <c r="C76" i="1"/>
  <c r="C77" i="1"/>
  <c r="C78" i="1"/>
  <c r="C79" i="1"/>
  <c r="C80" i="1"/>
  <c r="C81" i="1"/>
  <c r="E81" i="1" s="1"/>
  <c r="C82" i="1"/>
  <c r="E82" i="1" s="1"/>
  <c r="C83" i="1"/>
  <c r="E83" i="1" s="1"/>
  <c r="C84" i="1"/>
  <c r="E84" i="1" s="1"/>
  <c r="C85" i="1"/>
  <c r="E85" i="1" s="1"/>
  <c r="C86" i="1"/>
  <c r="E86" i="1" s="1"/>
  <c r="C87" i="1"/>
  <c r="C88" i="1"/>
  <c r="C89" i="1"/>
  <c r="C90" i="1"/>
  <c r="C91" i="1"/>
  <c r="C92" i="1"/>
  <c r="C93" i="1"/>
  <c r="E93" i="1" s="1"/>
  <c r="C94" i="1"/>
  <c r="E94" i="1" s="1"/>
  <c r="C95" i="1"/>
  <c r="E95" i="1" s="1"/>
  <c r="C96" i="1"/>
  <c r="E96" i="1" s="1"/>
  <c r="C97" i="1"/>
  <c r="E97" i="1" s="1"/>
  <c r="C98" i="1"/>
  <c r="E98" i="1" s="1"/>
  <c r="C99" i="1"/>
  <c r="C100" i="1"/>
  <c r="C101" i="1"/>
  <c r="C3" i="1"/>
  <c r="H10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<sst xmlns="http://schemas.openxmlformats.org/spreadsheetml/2006/main" count="220" uniqueCount="168">
  <si>
    <t>CALL TIME</t>
  </si>
  <si>
    <t>Frekans</t>
  </si>
  <si>
    <t>Varışlar arası fark</t>
  </si>
  <si>
    <t>Fark Saniye Cinsinden</t>
  </si>
  <si>
    <t>Süreler</t>
  </si>
  <si>
    <t>TOPLAM:</t>
  </si>
  <si>
    <t>Kümülatif</t>
  </si>
  <si>
    <t>Tahmin:</t>
  </si>
  <si>
    <t>Üstel</t>
  </si>
  <si>
    <t>ORTALAMA:</t>
  </si>
  <si>
    <t>VARYANS:</t>
  </si>
  <si>
    <t>S. SAPMA:</t>
  </si>
  <si>
    <t>LAMBDA:</t>
  </si>
  <si>
    <t>Dakika Cinsinden</t>
  </si>
  <si>
    <t>Konuşma Süreleri</t>
  </si>
  <si>
    <t>n=</t>
  </si>
  <si>
    <t>Lambda=</t>
  </si>
  <si>
    <t>Oi</t>
  </si>
  <si>
    <t>Ei</t>
  </si>
  <si>
    <t>(Oi - Ei)</t>
  </si>
  <si>
    <t>(Oi - Ei)^2</t>
  </si>
  <si>
    <t>(Oi - Ei)^2/Ei</t>
  </si>
  <si>
    <t>6-1-1=4</t>
  </si>
  <si>
    <t>Ki-Kare Tablosu</t>
  </si>
  <si>
    <t>Serbestlik</t>
  </si>
  <si>
    <t>P = 0.05</t>
  </si>
  <si>
    <t>P = 0.01</t>
  </si>
  <si>
    <t>P = 0.001</t>
  </si>
  <si>
    <t>Derecesi</t>
  </si>
  <si>
    <t>3.84</t>
  </si>
  <si>
    <t>6.64</t>
  </si>
  <si>
    <t>10.83</t>
  </si>
  <si>
    <t>5.99</t>
  </si>
  <si>
    <t>9.21</t>
  </si>
  <si>
    <t>13.82</t>
  </si>
  <si>
    <t>7.82</t>
  </si>
  <si>
    <t>11.35</t>
  </si>
  <si>
    <t>16.27</t>
  </si>
  <si>
    <t>9.49</t>
  </si>
  <si>
    <t>13.28</t>
  </si>
  <si>
    <t>18.47</t>
  </si>
  <si>
    <t>11.07</t>
  </si>
  <si>
    <t>15.09</t>
  </si>
  <si>
    <t>20.52</t>
  </si>
  <si>
    <t>12.59</t>
  </si>
  <si>
    <t>16.81</t>
  </si>
  <si>
    <t>22.46</t>
  </si>
  <si>
    <t>14.07</t>
  </si>
  <si>
    <t>18.48</t>
  </si>
  <si>
    <t>24.32</t>
  </si>
  <si>
    <t>15.51</t>
  </si>
  <si>
    <t>20.09</t>
  </si>
  <si>
    <t>26.13</t>
  </si>
  <si>
    <t>16.92</t>
  </si>
  <si>
    <t>21.67</t>
  </si>
  <si>
    <t>27.88</t>
  </si>
  <si>
    <t>18.31</t>
  </si>
  <si>
    <t>23.21</t>
  </si>
  <si>
    <t>29.59</t>
  </si>
  <si>
    <t>Hesaplanan Değer (6,46) &lt; Kritik Değer (9,49)</t>
  </si>
  <si>
    <t>KABUL</t>
  </si>
  <si>
    <t>Sonuç :</t>
  </si>
  <si>
    <t>GİRDİ MODELİ TESTİ</t>
  </si>
  <si>
    <t>SINIF</t>
  </si>
  <si>
    <t>Toplam:</t>
  </si>
  <si>
    <t>Normal</t>
  </si>
  <si>
    <t>ORTALAMA</t>
  </si>
  <si>
    <t>VARYANS</t>
  </si>
  <si>
    <t>S. SAPMA</t>
  </si>
  <si>
    <t>Sınıf</t>
  </si>
  <si>
    <t>Ortalama:</t>
  </si>
  <si>
    <t>Varyans:</t>
  </si>
  <si>
    <t>S. Sapma:</t>
  </si>
  <si>
    <t>6-2-1 = 3</t>
  </si>
  <si>
    <t>Hesaplanan Değer (5,42) &lt; Kritik Değer (7,82)</t>
  </si>
  <si>
    <t>Sonuç:</t>
  </si>
  <si>
    <t>Kabul</t>
  </si>
  <si>
    <t>X0</t>
  </si>
  <si>
    <t>a</t>
  </si>
  <si>
    <t>c</t>
  </si>
  <si>
    <t>m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</si>
  <si>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</si>
  <si>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</si>
  <si>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</si>
  <si>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</si>
  <si>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</si>
  <si>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</si>
  <si>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</si>
  <si>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</si>
  <si>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</si>
  <si>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</si>
  <si>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Ri</t>
  </si>
  <si>
    <t>i/N</t>
  </si>
  <si>
    <t>i/N-Ri</t>
  </si>
  <si>
    <t>Ri-(i-1)/N</t>
  </si>
  <si>
    <t>Kolmogorov-Smirnov Testi Tablosu</t>
  </si>
  <si>
    <t>P = 0.10</t>
  </si>
  <si>
    <t>P = 0.02</t>
  </si>
  <si>
    <t>0.95000</t>
  </si>
  <si>
    <t>0.97500</t>
  </si>
  <si>
    <t>0.99000</t>
  </si>
  <si>
    <t>0.99500</t>
  </si>
  <si>
    <t>0.77639</t>
  </si>
  <si>
    <t>0.84189</t>
  </si>
  <si>
    <t>0.90000</t>
  </si>
  <si>
    <t>0.92929</t>
  </si>
  <si>
    <t>0.63604</t>
  </si>
  <si>
    <t>0.70760</t>
  </si>
  <si>
    <t>0.78456</t>
  </si>
  <si>
    <t>0.82900</t>
  </si>
  <si>
    <t>0.56522</t>
  </si>
  <si>
    <t>0.62394</t>
  </si>
  <si>
    <t>0.68887</t>
  </si>
  <si>
    <t>0.73424</t>
  </si>
  <si>
    <t>0.50945</t>
  </si>
  <si>
    <t>0.56328</t>
  </si>
  <si>
    <t>0.62718</t>
  </si>
  <si>
    <t>0.66853</t>
  </si>
  <si>
    <t>0.46799</t>
  </si>
  <si>
    <t>0.51926</t>
  </si>
  <si>
    <t>0.57741</t>
  </si>
  <si>
    <t>0.61661</t>
  </si>
  <si>
    <t>0.43607</t>
  </si>
  <si>
    <t>0.48342</t>
  </si>
  <si>
    <t>0.53844</t>
  </si>
  <si>
    <t>0.57581</t>
  </si>
  <si>
    <t>0.40962</t>
  </si>
  <si>
    <t>0.45427</t>
  </si>
  <si>
    <t>0.50654</t>
  </si>
  <si>
    <t>0.54179</t>
  </si>
  <si>
    <t>0.38746</t>
  </si>
  <si>
    <t>0.43001</t>
  </si>
  <si>
    <t>0.47960</t>
  </si>
  <si>
    <t>0.51332</t>
  </si>
  <si>
    <t>0.36866</t>
  </si>
  <si>
    <t>0.40925</t>
  </si>
  <si>
    <t>0.45662</t>
  </si>
  <si>
    <t>0.48893</t>
  </si>
  <si>
    <t>R1</t>
  </si>
  <si>
    <t>R2</t>
  </si>
  <si>
    <t>R4</t>
  </si>
  <si>
    <t>R3</t>
  </si>
  <si>
    <t>R5</t>
  </si>
  <si>
    <t>R6</t>
  </si>
  <si>
    <t>R7</t>
  </si>
  <si>
    <t>R8</t>
  </si>
  <si>
    <t>R9</t>
  </si>
  <si>
    <t>R10</t>
  </si>
  <si>
    <t>Rastgele Sayı Üretici</t>
  </si>
  <si>
    <t>D+=max{i/N-Ri}</t>
  </si>
  <si>
    <t>D-=max{Ri-(i-1)/N}</t>
  </si>
  <si>
    <t>alfa = 0,05 ise Da = 0.409 &gt; D=0.14</t>
  </si>
  <si>
    <t xml:space="preserve"> Rasgele sayı dizisi kullanılabilir.</t>
  </si>
  <si>
    <t>Sıra No</t>
  </si>
  <si>
    <t>R (Geliş)</t>
  </si>
  <si>
    <t>Üretilen Geliş Süresi</t>
  </si>
  <si>
    <t>R (Servis)</t>
  </si>
  <si>
    <t>Üretilen Servis Süresi</t>
  </si>
  <si>
    <t>Müşteri No</t>
  </si>
  <si>
    <t>Gelişler Arası Süre</t>
  </si>
  <si>
    <t>Varış Saati</t>
  </si>
  <si>
    <t>Hizmet Süresi</t>
  </si>
  <si>
    <t>Servis Başlangıcı</t>
  </si>
  <si>
    <t>Servis Bitişi</t>
  </si>
  <si>
    <t>Bekleme Süresi</t>
  </si>
  <si>
    <t>Sistemde Geçen Süre</t>
  </si>
  <si>
    <t>Sistemde Geçen Ortalama Süre</t>
  </si>
  <si>
    <t>Ortalama Geliş Süresi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</si>
</sst>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00000]hh:mm:ss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2"/>
      <color rgb="FFFF3333"/>
      <name val="Times New Roman"/>
      <family val="1"/>
      <charset val="162"/>
    </font>
    <font>
      <sz val="10"/>
      <color theme="1"/>
      <name val="Times New Roman"/>
      <family val="1"/>
      <charset val="162"/>
    </font>
    <font>
      <sz val="11"/>
      <color rgb="FF9C6500"/>
      <name val="Calibri"/>
      <family val="2"/>
      <charset val="162"/>
      <scheme val="minor"/>
    </font>
    <font>
      <sz val="11"/>
      <color theme="1"/>
      <name val="Times New Roman"/>
      <family val="1"/>
      <charset val="162"/>
    </font>
    <font>
      <b/>
      <sz val="11"/>
      <color theme="0"/>
      <name val="Calibri"/>
      <family val="2"/>
      <charset val="16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9" borderId="0" applyNumberFormat="0" applyBorder="0" applyAlignment="0" applyProtection="0"/>
  </cellStyleXfs>
  <cellXfs count="100">
    <xf numFmtId="0" fontId="0" fillId="0" borderId="0" xfId="0"/>
    <xf numFmtId="164" fontId="0" fillId="0" borderId="1" xfId="0" applyNumberFormat="1" applyBorder="1" applyAlignment="1">
      <alignment horizontal="center"/>
    </xf>
    <xf numFmtId="0" fontId="0" fillId="0" borderId="1" xfId="0" applyBorder="1"/>
    <xf numFmtId="164" fontId="0" fillId="0" borderId="0" xfId="0" applyNumberFormat="1"/>
    <xf numFmtId="2" fontId="0" fillId="0" borderId="0" xfId="0" applyNumberFormat="1"/>
    <xf numFmtId="164" fontId="0" fillId="0" borderId="3" xfId="0" applyNumberForma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applyBorder="1"/>
    <xf numFmtId="2" fontId="0" fillId="0" borderId="2" xfId="0" applyNumberFormat="1" applyBorder="1"/>
    <xf numFmtId="10" fontId="0" fillId="0" borderId="0" xfId="0" applyNumberFormat="1"/>
    <xf numFmtId="10" fontId="0" fillId="0" borderId="1" xfId="0" applyNumberFormat="1" applyBorder="1"/>
    <xf numFmtId="0" fontId="0" fillId="0" borderId="4" xfId="0" applyBorder="1"/>
    <xf numFmtId="0" fontId="0" fillId="0" borderId="5" xfId="0" applyBorder="1"/>
    <xf numFmtId="49" fontId="0" fillId="0" borderId="0" xfId="0" applyNumberFormat="1"/>
    <xf numFmtId="49" fontId="2" fillId="0" borderId="9" xfId="0" applyNumberFormat="1" applyFont="1" applyBorder="1" applyAlignment="1">
      <alignment horizontal="center" vertical="center" wrapText="1"/>
    </xf>
    <xf numFmtId="49" fontId="2" fillId="0" borderId="10" xfId="0" applyNumberFormat="1" applyFont="1" applyBorder="1" applyAlignment="1">
      <alignment horizontal="center" vertical="center" wrapText="1"/>
    </xf>
    <xf numFmtId="49" fontId="2" fillId="0" borderId="11" xfId="0" applyNumberFormat="1" applyFont="1" applyBorder="1" applyAlignment="1">
      <alignment horizontal="center" vertical="center" wrapText="1"/>
    </xf>
    <xf numFmtId="49" fontId="3" fillId="0" borderId="11" xfId="0" applyNumberFormat="1" applyFont="1" applyBorder="1" applyAlignment="1">
      <alignment vertical="center" wrapText="1"/>
    </xf>
    <xf numFmtId="49" fontId="2" fillId="2" borderId="11" xfId="0" applyNumberFormat="1" applyFont="1" applyFill="1" applyBorder="1" applyAlignment="1">
      <alignment horizontal="center" vertical="center" wrapText="1"/>
    </xf>
    <xf numFmtId="49" fontId="3" fillId="2" borderId="11" xfId="0" applyNumberFormat="1" applyFont="1" applyFill="1" applyBorder="1" applyAlignment="1">
      <alignment vertical="center" wrapText="1"/>
    </xf>
    <xf numFmtId="0" fontId="0" fillId="5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/>
    <xf numFmtId="0" fontId="0" fillId="0" borderId="12" xfId="0" applyBorder="1"/>
    <xf numFmtId="0" fontId="0" fillId="6" borderId="4" xfId="0" applyFill="1" applyBorder="1"/>
    <xf numFmtId="0" fontId="0" fillId="3" borderId="5" xfId="0" applyFill="1" applyBorder="1"/>
    <xf numFmtId="0" fontId="0" fillId="7" borderId="1" xfId="0" applyFill="1" applyBorder="1"/>
    <xf numFmtId="0" fontId="1" fillId="6" borderId="4" xfId="0" applyFont="1" applyFill="1" applyBorder="1"/>
    <xf numFmtId="0" fontId="1" fillId="8" borderId="5" xfId="0" applyFont="1" applyFill="1" applyBorder="1"/>
    <xf numFmtId="0" fontId="0" fillId="0" borderId="2" xfId="0" applyBorder="1" applyAlignment="1">
      <alignment horizontal="center"/>
    </xf>
    <xf numFmtId="0" fontId="0" fillId="0" borderId="13" xfId="0" applyBorder="1" applyAlignment="1">
      <alignment horizontal="center"/>
    </xf>
    <xf numFmtId="2" fontId="0" fillId="0" borderId="2" xfId="0" applyNumberFormat="1" applyBorder="1" applyAlignment="1">
      <alignment horizontal="center"/>
    </xf>
    <xf numFmtId="49" fontId="3" fillId="11" borderId="11" xfId="0" applyNumberFormat="1" applyFont="1" applyFill="1" applyBorder="1" applyAlignment="1">
      <alignment vertical="center" wrapText="1"/>
    </xf>
    <xf numFmtId="49" fontId="2" fillId="7" borderId="11" xfId="0" applyNumberFormat="1" applyFont="1" applyFill="1" applyBorder="1" applyAlignment="1">
      <alignment horizontal="center" vertical="center" wrapText="1"/>
    </xf>
    <xf numFmtId="49" fontId="2" fillId="11" borderId="11" xfId="0" applyNumberFormat="1" applyFont="1" applyFill="1" applyBorder="1" applyAlignment="1">
      <alignment horizontal="center" vertical="center" wrapText="1"/>
    </xf>
    <xf numFmtId="49" fontId="3" fillId="7" borderId="11" xfId="0" applyNumberFormat="1" applyFont="1" applyFill="1" applyBorder="1" applyAlignment="1">
      <alignment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5" fillId="0" borderId="11" xfId="0" applyFont="1" applyBorder="1" applyAlignment="1">
      <alignment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3" borderId="11" xfId="0" applyFont="1" applyFill="1" applyBorder="1" applyAlignment="1">
      <alignment vertical="center" wrapText="1"/>
    </xf>
    <xf numFmtId="0" fontId="0" fillId="12" borderId="5" xfId="0" applyFill="1" applyBorder="1"/>
    <xf numFmtId="0" fontId="0" fillId="13" borderId="1" xfId="0" applyFill="1" applyBorder="1"/>
    <xf numFmtId="2" fontId="0" fillId="13" borderId="1" xfId="0" applyNumberFormat="1" applyFill="1" applyBorder="1"/>
    <xf numFmtId="0" fontId="0" fillId="14" borderId="1" xfId="0" applyFill="1" applyBorder="1"/>
    <xf numFmtId="2" fontId="0" fillId="14" borderId="1" xfId="0" applyNumberFormat="1" applyFill="1" applyBorder="1"/>
    <xf numFmtId="49" fontId="0" fillId="3" borderId="0" xfId="0" applyNumberFormat="1" applyFill="1"/>
    <xf numFmtId="0" fontId="0" fillId="4" borderId="1" xfId="0" applyFill="1" applyBorder="1"/>
    <xf numFmtId="0" fontId="0" fillId="4" borderId="13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7" borderId="15" xfId="0" applyFill="1" applyBorder="1"/>
    <xf numFmtId="0" fontId="0" fillId="0" borderId="16" xfId="0" applyBorder="1"/>
    <xf numFmtId="0" fontId="0" fillId="0" borderId="17" xfId="0" applyBorder="1"/>
    <xf numFmtId="0" fontId="0" fillId="7" borderId="18" xfId="0" applyFill="1" applyBorder="1"/>
    <xf numFmtId="0" fontId="0" fillId="0" borderId="19" xfId="0" applyBorder="1"/>
    <xf numFmtId="0" fontId="0" fillId="7" borderId="20" xfId="0" applyFill="1" applyBorder="1"/>
    <xf numFmtId="0" fontId="0" fillId="0" borderId="21" xfId="0" applyBorder="1"/>
    <xf numFmtId="0" fontId="0" fillId="0" borderId="22" xfId="0" applyBorder="1"/>
    <xf numFmtId="0" fontId="1" fillId="0" borderId="25" xfId="0" applyFont="1" applyBorder="1"/>
    <xf numFmtId="0" fontId="1" fillId="0" borderId="28" xfId="0" applyFont="1" applyBorder="1"/>
    <xf numFmtId="0" fontId="6" fillId="15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0" fillId="18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0" fillId="20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1" fillId="19" borderId="0" xfId="0" applyFont="1" applyFill="1" applyAlignment="1">
      <alignment horizontal="center"/>
    </xf>
    <xf numFmtId="0" fontId="1" fillId="13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10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7" xfId="0" applyNumberFormat="1" applyFont="1" applyBorder="1" applyAlignment="1">
      <alignment horizontal="center" vertical="center" wrapText="1"/>
    </xf>
    <xf numFmtId="49" fontId="2" fillId="0" borderId="8" xfId="0" applyNumberFormat="1" applyFont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center" vertical="center" wrapText="1"/>
    </xf>
    <xf numFmtId="49" fontId="2" fillId="0" borderId="10" xfId="0" applyNumberFormat="1" applyFont="1" applyBorder="1" applyAlignment="1">
      <alignment horizontal="center" vertical="center" wrapText="1"/>
    </xf>
    <xf numFmtId="0" fontId="0" fillId="10" borderId="1" xfId="0" applyFill="1" applyBorder="1" applyAlignment="1">
      <alignment horizontal="center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0" fillId="6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164" fontId="0" fillId="0" borderId="1" xfId="0" applyNumberFormat="1" applyBorder="1"/>
    <xf numFmtId="164" fontId="0" fillId="0" borderId="3" xfId="0" applyNumberFormat="1" applyBorder="1"/>
  </cellXfs>
  <cellStyles count="2">
    <cellStyle name="Normal" xfId="0" builtinId="0"/>
    <cellStyle name="Nötr 2" xfId="1" xr:uid="{6D36A893-6E0C-40A7-A91A-8C2E443F1B69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Histogram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numRef>
              <c:f>Sayfa2!$F$3:$F$8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Sayfa2!$H$3:$H$8</c:f>
              <c:numCache>
                <c:formatCode>General</c:formatCode>
                <c:ptCount val="6"/>
                <c:pt idx="0">
                  <c:v>3</c:v>
                </c:pt>
                <c:pt idx="1">
                  <c:v>20</c:v>
                </c:pt>
                <c:pt idx="2">
                  <c:v>37</c:v>
                </c:pt>
                <c:pt idx="3">
                  <c:v>25</c:v>
                </c:pt>
                <c:pt idx="4">
                  <c:v>10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E5-44EA-B5A4-1E99DD5B86D6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4725295"/>
        <c:axId val="61471809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>
                      <a:tint val="77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Sayfa2!$F$3:$F$8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Sayfa2!$G$3:$G$8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F7E5-44EA-B5A4-1E99DD5B86D6}"/>
                  </c:ext>
                </c:extLst>
              </c15:ser>
            </c15:filteredBarSeries>
          </c:ext>
        </c:extLst>
      </c:barChart>
      <c:catAx>
        <c:axId val="6147252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Dakika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614718095"/>
        <c:crosses val="autoZero"/>
        <c:auto val="1"/>
        <c:lblAlgn val="ctr"/>
        <c:lblOffset val="100"/>
        <c:noMultiLvlLbl val="0"/>
      </c:catAx>
      <c:valAx>
        <c:axId val="61471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Frekans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614725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rich>
          <a:bodyPr rot="0" spcFirstLastPara="1" vertOverflow="ellipsis" vert="horz" wrap="square" lIns="38100" tIns="19050" rIns="38100" bIns="19050" anchor="ctr" anchorCtr="1" compatLnSpc="0"/>
          <a:lstStyle/>
          <a:p>
            <a:pPr algn="ctr" rtl="0"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kumimoji="0" lang="tr-TR" sz="16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libri" panose="020F0502020204030204"/>
              </a:rPr>
              <a:t>Histogram</a:t>
            </a:r>
            <a:endParaRPr kumimoji="0" lang="en-US" sz="1600" b="1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Calibri" panose="020F0502020204030204"/>
            </a:endParaRPr>
          </a:p>
        </cx:rich>
      </cx:tx>
    </cx:title>
    <cx:plotArea>
      <cx:plotAreaRegion>
        <cx:series layoutId="clusteredColumn" uniqueId="{26675349-8B73-427E-B515-5EEEAF9780B6}">
          <cx:tx>
            <cx:txData>
              <cx:f>_xlchart.v1.1</cx:f>
              <cx:v>Frekans</cx:v>
            </cx:txData>
          </cx:tx>
          <cx:dataId val="0"/>
          <cx:layoutPr>
            <cx:aggregation/>
          </cx:layoutPr>
          <cx:axisId val="1"/>
        </cx:series>
        <cx:series layoutId="paretoLine" ownerIdx="0" uniqueId="{BDFFFAE8-ED85-4AFC-ACF4-A98EA16FE4CF}">
          <cx:axisId val="2"/>
        </cx:series>
      </cx:plotAreaRegion>
      <cx:axis id="0">
        <cx:catScaling gapWidth="2.19000006"/>
        <cx:title>
          <cx:tx>
            <cx:txData>
              <cx:v>Süre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tr-TR" sz="1000" b="1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Süre</a:t>
              </a:r>
            </a:p>
          </cx:txPr>
        </cx:title>
        <cx:tickLabels/>
      </cx:axis>
      <cx:axis id="1">
        <cx:valScaling/>
        <cx:title>
          <cx:tx>
            <cx:txData>
              <cx:v>Frekans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tr-TR" sz="1000" b="1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Frekans</a:t>
              </a:r>
            </a:p>
          </cx:txPr>
        </cx:title>
        <cx:majorGridlines/>
        <cx:tickLabels/>
      </cx:axis>
      <cx:axis id="2">
        <cx:valScaling max="1" min="0"/>
        <cx:title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endParaRPr lang="tr-TR" sz="1000" b="0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endParaRPr>
            </a:p>
          </cx:txPr>
        </cx:title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38099</xdr:colOff>
      <xdr:row>8</xdr:row>
      <xdr:rowOff>14287</xdr:rowOff>
    </xdr:from>
    <xdr:to>
      <xdr:col>20</xdr:col>
      <xdr:colOff>354012</xdr:colOff>
      <xdr:row>26</xdr:row>
      <xdr:rowOff>66675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afik 2">
              <a:extLst>
                <a:ext uri="{FF2B5EF4-FFF2-40B4-BE49-F238E27FC236}">
                  <a16:creationId xmlns:a16="http://schemas.microsoft.com/office/drawing/2014/main" id="{2C17A828-513E-0519-99D8-FFFA3E7619C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77299" y="1547812"/>
              <a:ext cx="5802313" cy="3500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grafik, Excel sürümünüzde kullanılamaz.
Bu şekli düzenlemek veya bu çalışma kitabını farklı bir dosya biçiminde kaydetmek grafiğin kalıcı olarak bozulmasına neden olur.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419100</xdr:colOff>
      <xdr:row>2</xdr:row>
      <xdr:rowOff>166687</xdr:rowOff>
    </xdr:from>
    <xdr:to>
      <xdr:col>18</xdr:col>
      <xdr:colOff>114300</xdr:colOff>
      <xdr:row>17</xdr:row>
      <xdr:rowOff>33337</xdr:rowOff>
    </xdr:to>
    <xdr:graphicFrame macro="">
      <xdr:nvGraphicFramePr>
        <xdr:cNvPr id="3" name="Grafik 2">
          <a:extLst>
            <a:ext uri="{FF2B5EF4-FFF2-40B4-BE49-F238E27FC236}">
              <a16:creationId xmlns:a16="http://schemas.microsoft.com/office/drawing/2014/main" id="{05958474-525F-585D-5B86-292B10FBA3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4"/>
  <sheetViews>
    <sheetView workbookViewId="0">
      <selection activeCell="M37" sqref="M37"/>
    </sheetView>
  </sheetViews>
  <sheetFormatPr defaultRowHeight="15" x14ac:dyDescent="0.25"/>
  <cols>
    <col min="1" max="1" width="15.7109375" customWidth="1"/>
    <col min="3" max="3" width="16.85546875" customWidth="1"/>
    <col min="5" max="5" width="20.5703125" style="4" bestFit="1" customWidth="1"/>
    <col min="7" max="7" width="12.42578125" customWidth="1"/>
    <col min="8" max="8" width="10.5703125" bestFit="1" customWidth="1"/>
    <col min="10" max="10" width="10.7109375" style="9" customWidth="1"/>
  </cols>
  <sheetData>
    <row r="1" spans="1:10" ht="15.75" thickBot="1" x14ac:dyDescent="0.3">
      <c r="A1" s="6" t="s">
        <v>0</v>
      </c>
      <c r="C1" s="7" t="s">
        <v>2</v>
      </c>
      <c r="E1" s="8" t="s">
        <v>3</v>
      </c>
      <c r="G1" s="2" t="s">
        <v>4</v>
      </c>
      <c r="H1" s="2" t="s">
        <v>1</v>
      </c>
      <c r="J1" s="10" t="s">
        <v>6</v>
      </c>
    </row>
    <row r="2" spans="1:10" x14ac:dyDescent="0.25">
      <c r="A2" s="5">
        <v>3.2407407407407406E-4</v>
      </c>
      <c r="G2" s="2"/>
      <c r="H2" s="2" cm="1">
        <f t="array" ref="H2:H13">FREQUENCY(E3:E101, G3:G13)</f>
        <v>0</v>
      </c>
      <c r="J2" s="10"/>
    </row>
    <row r="3" spans="1:10" x14ac:dyDescent="0.25">
      <c r="A3" s="1">
        <v>1.5277777777777779E-3</v>
      </c>
      <c r="C3" s="3">
        <f>A3 - A2</f>
        <v>1.2037037037037038E-3</v>
      </c>
      <c r="E3" s="4">
        <f>MINUTE(C3) + SECOND(C3)/60</f>
        <v>1.7333333333333334</v>
      </c>
      <c r="G3" s="2">
        <v>0</v>
      </c>
      <c r="H3" s="2">
        <v>41</v>
      </c>
      <c r="I3">
        <f>SUM($H$3:H3)</f>
        <v>41</v>
      </c>
      <c r="J3" s="10">
        <f>I3/$H$15</f>
        <v>0.41414141414141414</v>
      </c>
    </row>
    <row r="4" spans="1:10" x14ac:dyDescent="0.25">
      <c r="A4" s="1">
        <v>2.8472222222222223E-3</v>
      </c>
      <c r="C4" s="3">
        <f t="shared" ref="C4:C67" si="0">A4 - A3</f>
        <v>1.3194444444444445E-3</v>
      </c>
      <c r="E4" s="4">
        <f t="shared" ref="E4:E67" si="1">MINUTE(C4) + SECOND(C4)/60</f>
        <v>1.9</v>
      </c>
      <c r="G4" s="2">
        <v>2</v>
      </c>
      <c r="H4" s="2">
        <v>25</v>
      </c>
      <c r="I4">
        <f>SUM($H$3:H4)</f>
        <v>66</v>
      </c>
      <c r="J4" s="10">
        <f t="shared" ref="J4:J13" si="2">I4/$H$15</f>
        <v>0.66666666666666663</v>
      </c>
    </row>
    <row r="5" spans="1:10" x14ac:dyDescent="0.25">
      <c r="A5" s="1">
        <v>3.449074074074074E-3</v>
      </c>
      <c r="C5" s="3">
        <f t="shared" si="0"/>
        <v>6.0185185185185168E-4</v>
      </c>
      <c r="E5" s="4">
        <f t="shared" si="1"/>
        <v>0.8666666666666667</v>
      </c>
      <c r="G5" s="2">
        <v>4</v>
      </c>
      <c r="H5" s="2">
        <v>12</v>
      </c>
      <c r="I5">
        <f>SUM($H$3:H5)</f>
        <v>78</v>
      </c>
      <c r="J5" s="10">
        <f t="shared" si="2"/>
        <v>0.78787878787878785</v>
      </c>
    </row>
    <row r="6" spans="1:10" x14ac:dyDescent="0.25">
      <c r="A6" s="1">
        <v>3.7962962962962963E-3</v>
      </c>
      <c r="C6" s="3">
        <f t="shared" si="0"/>
        <v>3.4722222222222229E-4</v>
      </c>
      <c r="E6" s="4">
        <f t="shared" si="1"/>
        <v>0.5</v>
      </c>
      <c r="G6" s="2">
        <v>6</v>
      </c>
      <c r="H6" s="2">
        <v>5</v>
      </c>
      <c r="I6">
        <f>SUM($H$3:H6)</f>
        <v>83</v>
      </c>
      <c r="J6" s="10">
        <f t="shared" si="2"/>
        <v>0.83838383838383834</v>
      </c>
    </row>
    <row r="7" spans="1:10" x14ac:dyDescent="0.25">
      <c r="A7" s="1">
        <v>4.1435185185185186E-3</v>
      </c>
      <c r="C7" s="3">
        <f t="shared" si="0"/>
        <v>3.4722222222222229E-4</v>
      </c>
      <c r="E7" s="4">
        <f t="shared" si="1"/>
        <v>0.5</v>
      </c>
      <c r="G7" s="2">
        <v>8</v>
      </c>
      <c r="H7" s="2">
        <v>3</v>
      </c>
      <c r="I7">
        <f>SUM($H$3:H7)</f>
        <v>86</v>
      </c>
      <c r="J7" s="10">
        <f t="shared" si="2"/>
        <v>0.86868686868686873</v>
      </c>
    </row>
    <row r="8" spans="1:10" x14ac:dyDescent="0.25">
      <c r="A8" s="1">
        <v>5.6249999999999998E-3</v>
      </c>
      <c r="C8" s="3">
        <f t="shared" si="0"/>
        <v>1.4814814814814812E-3</v>
      </c>
      <c r="E8" s="4">
        <f t="shared" si="1"/>
        <v>2.1333333333333333</v>
      </c>
      <c r="G8" s="2">
        <v>10</v>
      </c>
      <c r="H8" s="2">
        <v>4</v>
      </c>
      <c r="I8">
        <f>SUM($H$3:H8)</f>
        <v>90</v>
      </c>
      <c r="J8" s="10">
        <f t="shared" si="2"/>
        <v>0.90909090909090906</v>
      </c>
    </row>
    <row r="9" spans="1:10" x14ac:dyDescent="0.25">
      <c r="A9" s="1">
        <v>7.0486111111111114E-3</v>
      </c>
      <c r="C9" s="3">
        <f t="shared" si="0"/>
        <v>1.4236111111111116E-3</v>
      </c>
      <c r="E9" s="4">
        <f t="shared" si="1"/>
        <v>2.0499999999999998</v>
      </c>
      <c r="G9" s="2">
        <v>12</v>
      </c>
      <c r="H9" s="2">
        <v>3</v>
      </c>
      <c r="I9">
        <f>SUM($H$3:H9)</f>
        <v>93</v>
      </c>
      <c r="J9" s="10">
        <f t="shared" si="2"/>
        <v>0.93939393939393945</v>
      </c>
    </row>
    <row r="10" spans="1:10" x14ac:dyDescent="0.25">
      <c r="A10" s="1">
        <v>7.7777777777777776E-3</v>
      </c>
      <c r="C10" s="3">
        <f t="shared" si="0"/>
        <v>7.2916666666666616E-4</v>
      </c>
      <c r="E10" s="4">
        <f t="shared" si="1"/>
        <v>1.05</v>
      </c>
      <c r="G10" s="2">
        <v>14</v>
      </c>
      <c r="H10" s="2">
        <v>3</v>
      </c>
      <c r="I10">
        <f>SUM($H$3:H10)</f>
        <v>96</v>
      </c>
      <c r="J10" s="10">
        <f t="shared" si="2"/>
        <v>0.96969696969696972</v>
      </c>
    </row>
    <row r="11" spans="1:10" x14ac:dyDescent="0.25">
      <c r="A11" s="1">
        <v>8.2175925925925923E-3</v>
      </c>
      <c r="C11" s="3">
        <f t="shared" si="0"/>
        <v>4.3981481481481476E-4</v>
      </c>
      <c r="E11" s="4">
        <f t="shared" si="1"/>
        <v>0.6333333333333333</v>
      </c>
      <c r="G11" s="2">
        <v>16</v>
      </c>
      <c r="H11" s="2">
        <v>2</v>
      </c>
      <c r="I11">
        <f>SUM($H$3:H11)</f>
        <v>98</v>
      </c>
      <c r="J11" s="10">
        <f t="shared" si="2"/>
        <v>0.98989898989898994</v>
      </c>
    </row>
    <row r="12" spans="1:10" x14ac:dyDescent="0.25">
      <c r="A12" s="1">
        <v>8.4375000000000006E-3</v>
      </c>
      <c r="C12" s="3">
        <f t="shared" si="0"/>
        <v>2.1990740740740825E-4</v>
      </c>
      <c r="E12" s="4">
        <f t="shared" si="1"/>
        <v>0.31666666666666665</v>
      </c>
      <c r="G12" s="2">
        <v>18</v>
      </c>
      <c r="H12" s="2">
        <v>1</v>
      </c>
      <c r="I12">
        <f>SUM($H$3:H12)</f>
        <v>99</v>
      </c>
      <c r="J12" s="10">
        <f t="shared" si="2"/>
        <v>1</v>
      </c>
    </row>
    <row r="13" spans="1:10" x14ac:dyDescent="0.25">
      <c r="A13" s="1">
        <v>1.0208333333333333E-2</v>
      </c>
      <c r="C13" s="3">
        <f t="shared" si="0"/>
        <v>1.7708333333333326E-3</v>
      </c>
      <c r="E13" s="4">
        <f t="shared" si="1"/>
        <v>2.5499999999999998</v>
      </c>
      <c r="G13" s="2">
        <v>20</v>
      </c>
      <c r="H13" s="2">
        <v>0</v>
      </c>
      <c r="I13">
        <f>SUM($H$3:H13)</f>
        <v>99</v>
      </c>
      <c r="J13" s="10">
        <f t="shared" si="2"/>
        <v>1</v>
      </c>
    </row>
    <row r="14" spans="1:10" x14ac:dyDescent="0.25">
      <c r="A14" s="1">
        <v>1.2037037037037037E-2</v>
      </c>
      <c r="C14" s="3">
        <f t="shared" si="0"/>
        <v>1.8287037037037039E-3</v>
      </c>
      <c r="E14" s="4">
        <f t="shared" si="1"/>
        <v>2.6333333333333333</v>
      </c>
    </row>
    <row r="15" spans="1:10" x14ac:dyDescent="0.25">
      <c r="A15" s="1">
        <v>1.412037037037037E-2</v>
      </c>
      <c r="C15" s="3">
        <f t="shared" si="0"/>
        <v>2.0833333333333329E-3</v>
      </c>
      <c r="E15" s="4">
        <f t="shared" si="1"/>
        <v>3</v>
      </c>
      <c r="G15" t="s">
        <v>5</v>
      </c>
      <c r="H15">
        <f>SUM(H3:H13)</f>
        <v>99</v>
      </c>
    </row>
    <row r="16" spans="1:10" x14ac:dyDescent="0.25">
      <c r="A16" s="1">
        <v>1.7395833333333333E-2</v>
      </c>
      <c r="C16" s="3">
        <f t="shared" si="0"/>
        <v>3.2754629629629627E-3</v>
      </c>
      <c r="E16" s="4">
        <f t="shared" si="1"/>
        <v>4.7166666666666668</v>
      </c>
    </row>
    <row r="17" spans="1:8" ht="15.75" thickBot="1" x14ac:dyDescent="0.3">
      <c r="A17" s="1">
        <v>1.8518518518518517E-2</v>
      </c>
      <c r="C17" s="3">
        <f t="shared" si="0"/>
        <v>1.1226851851851849E-3</v>
      </c>
      <c r="E17" s="4">
        <f t="shared" si="1"/>
        <v>1.6166666666666667</v>
      </c>
    </row>
    <row r="18" spans="1:8" ht="15.75" thickBot="1" x14ac:dyDescent="0.3">
      <c r="A18" s="1">
        <v>1.9004629629629628E-2</v>
      </c>
      <c r="C18" s="3">
        <f t="shared" si="0"/>
        <v>4.8611111111111077E-4</v>
      </c>
      <c r="E18" s="4">
        <f t="shared" si="1"/>
        <v>0.7</v>
      </c>
      <c r="G18" s="11" t="s">
        <v>7</v>
      </c>
      <c r="H18" s="12" t="s">
        <v>8</v>
      </c>
    </row>
    <row r="19" spans="1:8" x14ac:dyDescent="0.25">
      <c r="A19" s="1">
        <v>2.2812499999999999E-2</v>
      </c>
      <c r="C19" s="3">
        <f t="shared" si="0"/>
        <v>3.8078703703703712E-3</v>
      </c>
      <c r="E19" s="4">
        <f t="shared" si="1"/>
        <v>5.4833333333333334</v>
      </c>
    </row>
    <row r="20" spans="1:8" x14ac:dyDescent="0.25">
      <c r="A20" s="1">
        <v>2.4907407407407406E-2</v>
      </c>
      <c r="C20" s="3">
        <f t="shared" si="0"/>
        <v>2.0949074074074064E-3</v>
      </c>
      <c r="E20" s="4">
        <f t="shared" si="1"/>
        <v>3.0166666666666666</v>
      </c>
    </row>
    <row r="21" spans="1:8" x14ac:dyDescent="0.25">
      <c r="A21" s="1">
        <v>2.8078703703703703E-2</v>
      </c>
      <c r="C21" s="3">
        <f t="shared" si="0"/>
        <v>3.1712962962962971E-3</v>
      </c>
      <c r="E21" s="4">
        <f t="shared" si="1"/>
        <v>4.5666666666666664</v>
      </c>
    </row>
    <row r="22" spans="1:8" x14ac:dyDescent="0.25">
      <c r="A22" s="1">
        <v>2.9560185185185186E-2</v>
      </c>
      <c r="C22" s="3">
        <f t="shared" si="0"/>
        <v>1.4814814814814829E-3</v>
      </c>
      <c r="E22" s="4">
        <f t="shared" si="1"/>
        <v>2.1333333333333333</v>
      </c>
    </row>
    <row r="23" spans="1:8" x14ac:dyDescent="0.25">
      <c r="A23" s="1">
        <v>3.0162037037037036E-2</v>
      </c>
      <c r="C23" s="3">
        <f t="shared" si="0"/>
        <v>6.0185185185184994E-4</v>
      </c>
      <c r="E23" s="4">
        <f t="shared" si="1"/>
        <v>0.8666666666666667</v>
      </c>
      <c r="G23" t="s">
        <v>9</v>
      </c>
      <c r="H23" s="4">
        <f>AVERAGE(E3:E101)</f>
        <v>4.2109427609427605</v>
      </c>
    </row>
    <row r="24" spans="1:8" x14ac:dyDescent="0.25">
      <c r="A24" s="1">
        <v>3.15625E-2</v>
      </c>
      <c r="C24" s="3">
        <f t="shared" si="0"/>
        <v>1.4004629629629645E-3</v>
      </c>
      <c r="E24" s="4">
        <f t="shared" si="1"/>
        <v>2.0166666666666666</v>
      </c>
      <c r="G24" t="s">
        <v>10</v>
      </c>
      <c r="H24">
        <f>_xlfn.VAR.P(E3:E101)</f>
        <v>19.625472287408311</v>
      </c>
    </row>
    <row r="25" spans="1:8" x14ac:dyDescent="0.25">
      <c r="A25" s="1">
        <v>3.2500000000000001E-2</v>
      </c>
      <c r="C25" s="3">
        <f t="shared" si="0"/>
        <v>9.3750000000000083E-4</v>
      </c>
      <c r="E25" s="4">
        <f t="shared" si="1"/>
        <v>1.35</v>
      </c>
      <c r="G25" t="s">
        <v>11</v>
      </c>
      <c r="H25">
        <f>_xlfn.STDEV.S(E3:E101)</f>
        <v>4.4526095953618476</v>
      </c>
    </row>
    <row r="26" spans="1:8" x14ac:dyDescent="0.25">
      <c r="A26" s="1">
        <v>3.2627314814814817E-2</v>
      </c>
      <c r="C26" s="3">
        <f t="shared" si="0"/>
        <v>1.2731481481481621E-4</v>
      </c>
      <c r="E26" s="4">
        <f t="shared" si="1"/>
        <v>0.18333333333333332</v>
      </c>
    </row>
    <row r="27" spans="1:8" x14ac:dyDescent="0.25">
      <c r="A27" s="1">
        <v>3.3368055555555554E-2</v>
      </c>
      <c r="C27" s="3">
        <f t="shared" si="0"/>
        <v>7.4074074074073626E-4</v>
      </c>
      <c r="E27" s="4">
        <f t="shared" si="1"/>
        <v>1.0666666666666667</v>
      </c>
      <c r="G27" t="s">
        <v>12</v>
      </c>
      <c r="H27">
        <f>1 / AVERAGE(E2:E101)</f>
        <v>0.23747651221364893</v>
      </c>
    </row>
    <row r="28" spans="1:8" x14ac:dyDescent="0.25">
      <c r="A28" s="1">
        <v>3.4050925925925929E-2</v>
      </c>
      <c r="C28" s="3">
        <f t="shared" si="0"/>
        <v>6.8287037037037535E-4</v>
      </c>
      <c r="E28" s="4">
        <f t="shared" si="1"/>
        <v>0.98333333333333328</v>
      </c>
    </row>
    <row r="29" spans="1:8" x14ac:dyDescent="0.25">
      <c r="A29" s="1">
        <v>3.484953703703704E-2</v>
      </c>
      <c r="C29" s="3">
        <f t="shared" si="0"/>
        <v>7.9861111111111105E-4</v>
      </c>
      <c r="E29" s="4">
        <f t="shared" si="1"/>
        <v>1.1499999999999999</v>
      </c>
    </row>
    <row r="30" spans="1:8" x14ac:dyDescent="0.25">
      <c r="A30" s="1">
        <v>3.4988425925925923E-2</v>
      </c>
      <c r="C30" s="3">
        <f t="shared" si="0"/>
        <v>1.3888888888888284E-4</v>
      </c>
      <c r="E30" s="4">
        <f t="shared" si="1"/>
        <v>0.2</v>
      </c>
    </row>
    <row r="31" spans="1:8" x14ac:dyDescent="0.25">
      <c r="A31" s="1">
        <v>4.0833333333333333E-2</v>
      </c>
      <c r="C31" s="3">
        <f t="shared" si="0"/>
        <v>5.8449074074074098E-3</v>
      </c>
      <c r="E31" s="4">
        <f t="shared" si="1"/>
        <v>8.4166666666666661</v>
      </c>
    </row>
    <row r="32" spans="1:8" x14ac:dyDescent="0.25">
      <c r="A32" s="1">
        <v>4.0949074074074075E-2</v>
      </c>
      <c r="C32" s="3">
        <f t="shared" si="0"/>
        <v>1.1574074074074264E-4</v>
      </c>
      <c r="E32" s="4">
        <f t="shared" si="1"/>
        <v>0.16666666666666666</v>
      </c>
    </row>
    <row r="33" spans="1:5" x14ac:dyDescent="0.25">
      <c r="A33" s="1">
        <v>4.310185185185185E-2</v>
      </c>
      <c r="C33" s="3">
        <f t="shared" si="0"/>
        <v>2.1527777777777743E-3</v>
      </c>
      <c r="E33" s="4">
        <f t="shared" si="1"/>
        <v>3.1</v>
      </c>
    </row>
    <row r="34" spans="1:5" x14ac:dyDescent="0.25">
      <c r="A34" s="1">
        <v>4.597222222222222E-2</v>
      </c>
      <c r="C34" s="3">
        <f t="shared" si="0"/>
        <v>2.8703703703703703E-3</v>
      </c>
      <c r="E34" s="4">
        <f t="shared" si="1"/>
        <v>4.1333333333333337</v>
      </c>
    </row>
    <row r="35" spans="1:5" x14ac:dyDescent="0.25">
      <c r="A35" s="1">
        <v>4.6851851851851853E-2</v>
      </c>
      <c r="C35" s="3">
        <f t="shared" si="0"/>
        <v>8.7962962962963298E-4</v>
      </c>
      <c r="E35" s="4">
        <f t="shared" si="1"/>
        <v>1.2666666666666666</v>
      </c>
    </row>
    <row r="36" spans="1:5" x14ac:dyDescent="0.25">
      <c r="A36" s="1">
        <v>5.019675925925926E-2</v>
      </c>
      <c r="C36" s="3">
        <f t="shared" si="0"/>
        <v>3.3449074074074076E-3</v>
      </c>
      <c r="E36" s="4">
        <f t="shared" si="1"/>
        <v>4.8166666666666664</v>
      </c>
    </row>
    <row r="37" spans="1:5" x14ac:dyDescent="0.25">
      <c r="A37" s="1">
        <v>5.3981481481481484E-2</v>
      </c>
      <c r="C37" s="3">
        <f t="shared" si="0"/>
        <v>3.784722222222224E-3</v>
      </c>
      <c r="E37" s="4">
        <f t="shared" si="1"/>
        <v>5.45</v>
      </c>
    </row>
    <row r="38" spans="1:5" x14ac:dyDescent="0.25">
      <c r="A38" s="1">
        <v>5.5289351851851853E-2</v>
      </c>
      <c r="C38" s="3">
        <f t="shared" si="0"/>
        <v>1.307870370370369E-3</v>
      </c>
      <c r="E38" s="4">
        <f t="shared" si="1"/>
        <v>1.8833333333333333</v>
      </c>
    </row>
    <row r="39" spans="1:5" x14ac:dyDescent="0.25">
      <c r="A39" s="1">
        <v>5.6678240740740737E-2</v>
      </c>
      <c r="C39" s="3">
        <f t="shared" si="0"/>
        <v>1.388888888888884E-3</v>
      </c>
      <c r="E39" s="4">
        <f t="shared" si="1"/>
        <v>2</v>
      </c>
    </row>
    <row r="40" spans="1:5" x14ac:dyDescent="0.25">
      <c r="A40" s="1">
        <v>5.752314814814815E-2</v>
      </c>
      <c r="C40" s="3">
        <f t="shared" si="0"/>
        <v>8.4490740740741227E-4</v>
      </c>
      <c r="E40" s="4">
        <f t="shared" si="1"/>
        <v>1.2166666666666668</v>
      </c>
    </row>
    <row r="41" spans="1:5" x14ac:dyDescent="0.25">
      <c r="A41" s="1">
        <v>5.9259259259259262E-2</v>
      </c>
      <c r="C41" s="3">
        <f t="shared" si="0"/>
        <v>1.7361111111111119E-3</v>
      </c>
      <c r="E41" s="4">
        <f t="shared" si="1"/>
        <v>2.5</v>
      </c>
    </row>
    <row r="42" spans="1:5" x14ac:dyDescent="0.25">
      <c r="A42" s="1">
        <v>6.0624999999999998E-2</v>
      </c>
      <c r="C42" s="3">
        <f t="shared" si="0"/>
        <v>1.3657407407407368E-3</v>
      </c>
      <c r="E42" s="4">
        <f t="shared" si="1"/>
        <v>1.9666666666666668</v>
      </c>
    </row>
    <row r="43" spans="1:5" x14ac:dyDescent="0.25">
      <c r="A43" s="1">
        <v>6.6574074074074077E-2</v>
      </c>
      <c r="C43" s="3">
        <f t="shared" si="0"/>
        <v>5.9490740740740788E-3</v>
      </c>
      <c r="E43" s="4">
        <f t="shared" si="1"/>
        <v>8.5666666666666664</v>
      </c>
    </row>
    <row r="44" spans="1:5" x14ac:dyDescent="0.25">
      <c r="A44" s="1">
        <v>6.8761574074074072E-2</v>
      </c>
      <c r="C44" s="3">
        <f t="shared" si="0"/>
        <v>2.187499999999995E-3</v>
      </c>
      <c r="E44" s="4">
        <f t="shared" si="1"/>
        <v>3.15</v>
      </c>
    </row>
    <row r="45" spans="1:5" x14ac:dyDescent="0.25">
      <c r="A45" s="1">
        <v>6.8831018518518514E-2</v>
      </c>
      <c r="C45" s="3">
        <f t="shared" si="0"/>
        <v>6.9444444444441422E-5</v>
      </c>
      <c r="E45" s="4">
        <f t="shared" si="1"/>
        <v>0.1</v>
      </c>
    </row>
    <row r="46" spans="1:5" x14ac:dyDescent="0.25">
      <c r="A46" s="1">
        <v>7.3692129629629635E-2</v>
      </c>
      <c r="C46" s="3">
        <f t="shared" si="0"/>
        <v>4.8611111111111216E-3</v>
      </c>
      <c r="E46" s="4">
        <f t="shared" si="1"/>
        <v>7</v>
      </c>
    </row>
    <row r="47" spans="1:5" x14ac:dyDescent="0.25">
      <c r="A47" s="1">
        <v>7.4884259259259262E-2</v>
      </c>
      <c r="C47" s="3">
        <f t="shared" si="0"/>
        <v>1.1921296296296263E-3</v>
      </c>
      <c r="E47" s="4">
        <f t="shared" si="1"/>
        <v>1.7166666666666668</v>
      </c>
    </row>
    <row r="48" spans="1:5" x14ac:dyDescent="0.25">
      <c r="A48" s="1">
        <v>7.6874999999999999E-2</v>
      </c>
      <c r="C48" s="3">
        <f t="shared" si="0"/>
        <v>1.9907407407407374E-3</v>
      </c>
      <c r="E48" s="4">
        <f t="shared" si="1"/>
        <v>2.8666666666666667</v>
      </c>
    </row>
    <row r="49" spans="1:5" x14ac:dyDescent="0.25">
      <c r="A49" s="1">
        <v>7.7638888888888882E-2</v>
      </c>
      <c r="C49" s="3">
        <f t="shared" si="0"/>
        <v>7.638888888888834E-4</v>
      </c>
      <c r="E49" s="4">
        <f t="shared" si="1"/>
        <v>1.1000000000000001</v>
      </c>
    </row>
    <row r="50" spans="1:5" x14ac:dyDescent="0.25">
      <c r="A50" s="1">
        <v>7.857638888888889E-2</v>
      </c>
      <c r="C50" s="3">
        <f t="shared" si="0"/>
        <v>9.3750000000000777E-4</v>
      </c>
      <c r="E50" s="4">
        <f t="shared" si="1"/>
        <v>1.35</v>
      </c>
    </row>
    <row r="51" spans="1:5" x14ac:dyDescent="0.25">
      <c r="A51" s="1">
        <v>7.8750000000000001E-2</v>
      </c>
      <c r="C51" s="3">
        <f t="shared" si="0"/>
        <v>1.7361111111111049E-4</v>
      </c>
      <c r="E51" s="4">
        <f t="shared" si="1"/>
        <v>0.25</v>
      </c>
    </row>
    <row r="52" spans="1:5" x14ac:dyDescent="0.25">
      <c r="A52" s="1">
        <v>8.0011574074074068E-2</v>
      </c>
      <c r="C52" s="3">
        <f t="shared" si="0"/>
        <v>1.2615740740740677E-3</v>
      </c>
      <c r="E52" s="4">
        <f t="shared" si="1"/>
        <v>1.8166666666666667</v>
      </c>
    </row>
    <row r="53" spans="1:5" x14ac:dyDescent="0.25">
      <c r="A53" s="1">
        <v>8.3368055555555556E-2</v>
      </c>
      <c r="C53" s="3">
        <f t="shared" si="0"/>
        <v>3.3564814814814881E-3</v>
      </c>
      <c r="E53" s="4">
        <f t="shared" si="1"/>
        <v>4.833333333333333</v>
      </c>
    </row>
    <row r="54" spans="1:5" x14ac:dyDescent="0.25">
      <c r="A54" s="1">
        <v>9.0659722222222225E-2</v>
      </c>
      <c r="C54" s="3">
        <f t="shared" si="0"/>
        <v>7.2916666666666685E-3</v>
      </c>
      <c r="E54" s="4">
        <f t="shared" si="1"/>
        <v>10.5</v>
      </c>
    </row>
    <row r="55" spans="1:5" x14ac:dyDescent="0.25">
      <c r="A55" s="1">
        <v>9.1192129629629623E-2</v>
      </c>
      <c r="C55" s="3">
        <f t="shared" si="0"/>
        <v>5.3240740740739811E-4</v>
      </c>
      <c r="E55" s="4">
        <f t="shared" si="1"/>
        <v>0.76666666666666672</v>
      </c>
    </row>
    <row r="56" spans="1:5" x14ac:dyDescent="0.25">
      <c r="A56" s="1">
        <v>9.4328703703703706E-2</v>
      </c>
      <c r="C56" s="3">
        <f t="shared" si="0"/>
        <v>3.1365740740740833E-3</v>
      </c>
      <c r="E56" s="4">
        <f t="shared" si="1"/>
        <v>4.5166666666666666</v>
      </c>
    </row>
    <row r="57" spans="1:5" x14ac:dyDescent="0.25">
      <c r="A57" s="1">
        <v>9.5115740740740737E-2</v>
      </c>
      <c r="C57" s="3">
        <f t="shared" si="0"/>
        <v>7.8703703703703054E-4</v>
      </c>
      <c r="E57" s="4">
        <f t="shared" si="1"/>
        <v>1.1333333333333333</v>
      </c>
    </row>
    <row r="58" spans="1:5" x14ac:dyDescent="0.25">
      <c r="A58" s="1">
        <v>0.10175925925925926</v>
      </c>
      <c r="C58" s="3">
        <f t="shared" si="0"/>
        <v>6.6435185185185208E-3</v>
      </c>
      <c r="E58" s="4">
        <f t="shared" si="1"/>
        <v>9.5666666666666664</v>
      </c>
    </row>
    <row r="59" spans="1:5" x14ac:dyDescent="0.25">
      <c r="A59" s="1">
        <v>0.10408564814814815</v>
      </c>
      <c r="C59" s="3">
        <f t="shared" si="0"/>
        <v>2.3263888888888917E-3</v>
      </c>
      <c r="E59" s="4">
        <f t="shared" si="1"/>
        <v>3.35</v>
      </c>
    </row>
    <row r="60" spans="1:5" x14ac:dyDescent="0.25">
      <c r="A60" s="1">
        <v>0.10567129629629629</v>
      </c>
      <c r="C60" s="3">
        <f t="shared" si="0"/>
        <v>1.5856481481481416E-3</v>
      </c>
      <c r="E60" s="4">
        <f t="shared" si="1"/>
        <v>2.2833333333333332</v>
      </c>
    </row>
    <row r="61" spans="1:5" x14ac:dyDescent="0.25">
      <c r="A61" s="1">
        <v>0.10576388888888889</v>
      </c>
      <c r="C61" s="3">
        <f t="shared" si="0"/>
        <v>9.2592592592602441E-5</v>
      </c>
      <c r="E61" s="4">
        <f t="shared" si="1"/>
        <v>0.13333333333333333</v>
      </c>
    </row>
    <row r="62" spans="1:5" x14ac:dyDescent="0.25">
      <c r="A62" s="1">
        <v>0.10818287037037037</v>
      </c>
      <c r="C62" s="3">
        <f t="shared" si="0"/>
        <v>2.4189814814814803E-3</v>
      </c>
      <c r="E62" s="4">
        <f t="shared" si="1"/>
        <v>3.4833333333333334</v>
      </c>
    </row>
    <row r="63" spans="1:5" x14ac:dyDescent="0.25">
      <c r="A63" s="1">
        <v>0.1119212962962963</v>
      </c>
      <c r="C63" s="3">
        <f t="shared" si="0"/>
        <v>3.7384259259259228E-3</v>
      </c>
      <c r="E63" s="4">
        <f t="shared" si="1"/>
        <v>5.3833333333333337</v>
      </c>
    </row>
    <row r="64" spans="1:5" x14ac:dyDescent="0.25">
      <c r="A64" s="1">
        <v>0.11221064814814814</v>
      </c>
      <c r="C64" s="3">
        <f t="shared" si="0"/>
        <v>2.893518518518462E-4</v>
      </c>
      <c r="E64" s="4">
        <f t="shared" si="1"/>
        <v>0.41666666666666669</v>
      </c>
    </row>
    <row r="65" spans="1:5" x14ac:dyDescent="0.25">
      <c r="A65" s="1">
        <v>0.11304398148148148</v>
      </c>
      <c r="C65" s="3">
        <f t="shared" si="0"/>
        <v>8.333333333333387E-4</v>
      </c>
      <c r="E65" s="4">
        <f t="shared" si="1"/>
        <v>1.2</v>
      </c>
    </row>
    <row r="66" spans="1:5" x14ac:dyDescent="0.25">
      <c r="A66" s="1">
        <v>0.11542824074074073</v>
      </c>
      <c r="C66" s="3">
        <f t="shared" si="0"/>
        <v>2.3842592592592526E-3</v>
      </c>
      <c r="E66" s="4">
        <f t="shared" si="1"/>
        <v>3.4333333333333336</v>
      </c>
    </row>
    <row r="67" spans="1:5" x14ac:dyDescent="0.25">
      <c r="A67" s="1">
        <v>0.11820601851851852</v>
      </c>
      <c r="C67" s="3">
        <f t="shared" si="0"/>
        <v>2.7777777777777818E-3</v>
      </c>
      <c r="E67" s="4">
        <f t="shared" si="1"/>
        <v>4</v>
      </c>
    </row>
    <row r="68" spans="1:5" x14ac:dyDescent="0.25">
      <c r="A68" s="1">
        <v>0.11983796296296297</v>
      </c>
      <c r="C68" s="3">
        <f t="shared" ref="C68:C101" si="3">A68 - A67</f>
        <v>1.6319444444444497E-3</v>
      </c>
      <c r="E68" s="4">
        <f t="shared" ref="E68:E101" si="4">MINUTE(C68) + SECOND(C68)/60</f>
        <v>2.35</v>
      </c>
    </row>
    <row r="69" spans="1:5" x14ac:dyDescent="0.25">
      <c r="A69" s="1">
        <v>0.1199537037037037</v>
      </c>
      <c r="C69" s="3">
        <f t="shared" si="3"/>
        <v>1.157407407407357E-4</v>
      </c>
      <c r="E69" s="4">
        <f t="shared" si="4"/>
        <v>0.16666666666666666</v>
      </c>
    </row>
    <row r="70" spans="1:5" x14ac:dyDescent="0.25">
      <c r="A70" s="1">
        <v>0.1282638888888889</v>
      </c>
      <c r="C70" s="3">
        <f t="shared" si="3"/>
        <v>8.3101851851851982E-3</v>
      </c>
      <c r="E70" s="4">
        <f t="shared" si="4"/>
        <v>11.966666666666667</v>
      </c>
    </row>
    <row r="71" spans="1:5" x14ac:dyDescent="0.25">
      <c r="A71" s="1">
        <v>0.13679398148148147</v>
      </c>
      <c r="C71" s="3">
        <f t="shared" si="3"/>
        <v>8.5300925925925752E-3</v>
      </c>
      <c r="E71" s="4">
        <f t="shared" si="4"/>
        <v>12.283333333333333</v>
      </c>
    </row>
    <row r="72" spans="1:5" x14ac:dyDescent="0.25">
      <c r="A72" s="1">
        <v>0.1383912037037037</v>
      </c>
      <c r="C72" s="3">
        <f t="shared" si="3"/>
        <v>1.5972222222222221E-3</v>
      </c>
      <c r="E72" s="4">
        <f t="shared" si="4"/>
        <v>2.2999999999999998</v>
      </c>
    </row>
    <row r="73" spans="1:5" x14ac:dyDescent="0.25">
      <c r="A73" s="1">
        <v>0.13968749999999999</v>
      </c>
      <c r="C73" s="3">
        <f t="shared" si="3"/>
        <v>1.2962962962962954E-3</v>
      </c>
      <c r="E73" s="4">
        <f t="shared" si="4"/>
        <v>1.8666666666666667</v>
      </c>
    </row>
    <row r="74" spans="1:5" x14ac:dyDescent="0.25">
      <c r="A74" s="1">
        <v>0.14228009259259258</v>
      </c>
      <c r="C74" s="3">
        <f t="shared" si="3"/>
        <v>2.5925925925925908E-3</v>
      </c>
      <c r="E74" s="4">
        <f t="shared" si="4"/>
        <v>3.7333333333333334</v>
      </c>
    </row>
    <row r="75" spans="1:5" x14ac:dyDescent="0.25">
      <c r="A75" s="1">
        <v>0.14266203703703703</v>
      </c>
      <c r="C75" s="3">
        <f t="shared" si="3"/>
        <v>3.8194444444444864E-4</v>
      </c>
      <c r="E75" s="4">
        <f t="shared" si="4"/>
        <v>0.55000000000000004</v>
      </c>
    </row>
    <row r="76" spans="1:5" x14ac:dyDescent="0.25">
      <c r="A76" s="1">
        <v>0.14539351851851851</v>
      </c>
      <c r="C76" s="3">
        <f t="shared" si="3"/>
        <v>2.7314814814814736E-3</v>
      </c>
      <c r="E76" s="4">
        <f t="shared" si="4"/>
        <v>3.9333333333333336</v>
      </c>
    </row>
    <row r="77" spans="1:5" x14ac:dyDescent="0.25">
      <c r="A77" s="1">
        <v>0.14987268518518518</v>
      </c>
      <c r="C77" s="3">
        <f t="shared" si="3"/>
        <v>4.479166666666673E-3</v>
      </c>
      <c r="E77" s="4">
        <f t="shared" si="4"/>
        <v>6.45</v>
      </c>
    </row>
    <row r="78" spans="1:5" x14ac:dyDescent="0.25">
      <c r="A78" s="1">
        <v>0.15456018518518519</v>
      </c>
      <c r="C78" s="3">
        <f t="shared" si="3"/>
        <v>4.6875000000000111E-3</v>
      </c>
      <c r="E78" s="4">
        <f t="shared" si="4"/>
        <v>6.75</v>
      </c>
    </row>
    <row r="79" spans="1:5" x14ac:dyDescent="0.25">
      <c r="A79" s="1">
        <v>0.15534722222222222</v>
      </c>
      <c r="C79" s="3">
        <f t="shared" si="3"/>
        <v>7.8703703703703054E-4</v>
      </c>
      <c r="E79" s="4">
        <f t="shared" si="4"/>
        <v>1.1333333333333333</v>
      </c>
    </row>
    <row r="80" spans="1:5" x14ac:dyDescent="0.25">
      <c r="A80" s="1">
        <v>0.15915509259259258</v>
      </c>
      <c r="C80" s="3">
        <f t="shared" si="3"/>
        <v>3.8078703703703642E-3</v>
      </c>
      <c r="E80" s="4">
        <f t="shared" si="4"/>
        <v>5.4833333333333334</v>
      </c>
    </row>
    <row r="81" spans="1:5" x14ac:dyDescent="0.25">
      <c r="A81" s="1">
        <v>0.16089120370370372</v>
      </c>
      <c r="C81" s="3">
        <f t="shared" si="3"/>
        <v>1.7361111111111327E-3</v>
      </c>
      <c r="E81" s="4">
        <f t="shared" si="4"/>
        <v>2.5</v>
      </c>
    </row>
    <row r="82" spans="1:5" x14ac:dyDescent="0.25">
      <c r="A82" s="1">
        <v>0.1628125</v>
      </c>
      <c r="C82" s="3">
        <f t="shared" si="3"/>
        <v>1.9212962962962821E-3</v>
      </c>
      <c r="E82" s="4">
        <f t="shared" si="4"/>
        <v>2.7666666666666666</v>
      </c>
    </row>
    <row r="83" spans="1:5" x14ac:dyDescent="0.25">
      <c r="A83" s="1">
        <v>0.1648263888888889</v>
      </c>
      <c r="C83" s="3">
        <f t="shared" si="3"/>
        <v>2.0138888888888984E-3</v>
      </c>
      <c r="E83" s="4">
        <f t="shared" si="4"/>
        <v>2.9</v>
      </c>
    </row>
    <row r="84" spans="1:5" x14ac:dyDescent="0.25">
      <c r="A84" s="1">
        <v>0.16589120370370369</v>
      </c>
      <c r="C84" s="3">
        <f t="shared" si="3"/>
        <v>1.0648148148147962E-3</v>
      </c>
      <c r="E84" s="4">
        <f t="shared" si="4"/>
        <v>1.5333333333333332</v>
      </c>
    </row>
    <row r="85" spans="1:5" x14ac:dyDescent="0.25">
      <c r="A85" s="1">
        <v>0.17008101851851851</v>
      </c>
      <c r="C85" s="3">
        <f t="shared" si="3"/>
        <v>4.1898148148148129E-3</v>
      </c>
      <c r="E85" s="4">
        <f t="shared" si="4"/>
        <v>6.0333333333333332</v>
      </c>
    </row>
    <row r="86" spans="1:5" x14ac:dyDescent="0.25">
      <c r="A86" s="1">
        <v>0.17099537037037038</v>
      </c>
      <c r="C86" s="3">
        <f t="shared" si="3"/>
        <v>9.1435185185187451E-4</v>
      </c>
      <c r="E86" s="4">
        <f t="shared" si="4"/>
        <v>1.3166666666666667</v>
      </c>
    </row>
    <row r="87" spans="1:5" x14ac:dyDescent="0.25">
      <c r="A87" s="1">
        <v>0.17195601851851852</v>
      </c>
      <c r="C87" s="3">
        <f t="shared" si="3"/>
        <v>9.6064814814814103E-4</v>
      </c>
      <c r="E87" s="4">
        <f t="shared" si="4"/>
        <v>1.3833333333333333</v>
      </c>
    </row>
    <row r="88" spans="1:5" x14ac:dyDescent="0.25">
      <c r="A88" s="1">
        <v>0.17575231481481482</v>
      </c>
      <c r="C88" s="3">
        <f t="shared" si="3"/>
        <v>3.7962962962962976E-3</v>
      </c>
      <c r="E88" s="4">
        <f t="shared" si="4"/>
        <v>5.4666666666666668</v>
      </c>
    </row>
    <row r="89" spans="1:5" x14ac:dyDescent="0.25">
      <c r="A89" s="1">
        <v>0.17840277777777777</v>
      </c>
      <c r="C89" s="3">
        <f t="shared" si="3"/>
        <v>2.6504629629629517E-3</v>
      </c>
      <c r="E89" s="4">
        <f t="shared" si="4"/>
        <v>3.8166666666666664</v>
      </c>
    </row>
    <row r="90" spans="1:5" x14ac:dyDescent="0.25">
      <c r="A90" s="1">
        <v>0.18609953703703705</v>
      </c>
      <c r="C90" s="3">
        <f t="shared" si="3"/>
        <v>7.6967592592592782E-3</v>
      </c>
      <c r="E90" s="4">
        <f t="shared" si="4"/>
        <v>11.083333333333334</v>
      </c>
    </row>
    <row r="91" spans="1:5" x14ac:dyDescent="0.25">
      <c r="A91" s="1">
        <v>0.19567129629629629</v>
      </c>
      <c r="C91" s="3">
        <f t="shared" si="3"/>
        <v>9.5717592592592382E-3</v>
      </c>
      <c r="E91" s="4">
        <f t="shared" si="4"/>
        <v>13.783333333333333</v>
      </c>
    </row>
    <row r="92" spans="1:5" x14ac:dyDescent="0.25">
      <c r="A92" s="1">
        <v>0.20656250000000001</v>
      </c>
      <c r="C92" s="3">
        <f t="shared" si="3"/>
        <v>1.0891203703703722E-2</v>
      </c>
      <c r="E92" s="4">
        <f t="shared" si="4"/>
        <v>15.683333333333334</v>
      </c>
    </row>
    <row r="93" spans="1:5" x14ac:dyDescent="0.25">
      <c r="A93" s="1">
        <v>0.21836805555555555</v>
      </c>
      <c r="C93" s="3">
        <f t="shared" si="3"/>
        <v>1.1805555555555541E-2</v>
      </c>
      <c r="E93" s="4">
        <f t="shared" si="4"/>
        <v>17</v>
      </c>
    </row>
    <row r="94" spans="1:5" x14ac:dyDescent="0.25">
      <c r="A94" s="1">
        <v>0.23087962962962963</v>
      </c>
      <c r="C94" s="3">
        <f t="shared" si="3"/>
        <v>1.2511574074074078E-2</v>
      </c>
      <c r="E94" s="4">
        <f t="shared" si="4"/>
        <v>18.016666666666666</v>
      </c>
    </row>
    <row r="95" spans="1:5" x14ac:dyDescent="0.25">
      <c r="A95" s="1">
        <v>0.24270833333333333</v>
      </c>
      <c r="C95" s="3">
        <f t="shared" si="3"/>
        <v>1.1828703703703702E-2</v>
      </c>
      <c r="E95" s="4">
        <f t="shared" si="4"/>
        <v>17.033333333333335</v>
      </c>
    </row>
    <row r="96" spans="1:5" x14ac:dyDescent="0.25">
      <c r="A96" s="1">
        <v>0.25358796296296299</v>
      </c>
      <c r="C96" s="3">
        <f t="shared" si="3"/>
        <v>1.0879629629629656E-2</v>
      </c>
      <c r="E96" s="4">
        <f t="shared" si="4"/>
        <v>15.666666666666666</v>
      </c>
    </row>
    <row r="97" spans="1:5" x14ac:dyDescent="0.25">
      <c r="A97" s="1">
        <v>0.25840277777777776</v>
      </c>
      <c r="C97" s="3">
        <f t="shared" si="3"/>
        <v>4.8148148148147718E-3</v>
      </c>
      <c r="E97" s="4">
        <f t="shared" si="4"/>
        <v>6.9333333333333336</v>
      </c>
    </row>
    <row r="98" spans="1:5" x14ac:dyDescent="0.25">
      <c r="A98" s="1">
        <v>0.26153935185185184</v>
      </c>
      <c r="C98" s="3">
        <f t="shared" si="3"/>
        <v>3.1365740740740833E-3</v>
      </c>
      <c r="E98" s="4">
        <f t="shared" si="4"/>
        <v>4.5166666666666666</v>
      </c>
    </row>
    <row r="99" spans="1:5" x14ac:dyDescent="0.25">
      <c r="A99" s="1">
        <v>0.26983796296296297</v>
      </c>
      <c r="C99" s="3">
        <f t="shared" si="3"/>
        <v>8.2986111111111316E-3</v>
      </c>
      <c r="E99" s="4">
        <f t="shared" si="4"/>
        <v>11.95</v>
      </c>
    </row>
    <row r="100" spans="1:5" x14ac:dyDescent="0.25">
      <c r="A100" s="1">
        <v>0.28067129629629628</v>
      </c>
      <c r="C100" s="3">
        <f t="shared" si="3"/>
        <v>1.0833333333333306E-2</v>
      </c>
      <c r="E100" s="4">
        <f t="shared" si="4"/>
        <v>15.6</v>
      </c>
    </row>
    <row r="101" spans="1:5" x14ac:dyDescent="0.25">
      <c r="A101" s="1">
        <v>0.2898263888888889</v>
      </c>
      <c r="C101" s="3">
        <f t="shared" si="3"/>
        <v>9.1550925925926174E-3</v>
      </c>
      <c r="E101" s="4">
        <f t="shared" si="4"/>
        <v>13.183333333333334</v>
      </c>
    </row>
    <row r="102" spans="1:5" x14ac:dyDescent="0.25">
      <c r="C102" s="3"/>
    </row>
    <row r="103" spans="1:5" x14ac:dyDescent="0.25">
      <c r="C103" s="3"/>
    </row>
    <row r="104" spans="1:5" x14ac:dyDescent="0.25">
      <c r="C104" s="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4457A-2A9E-4D60-BE8E-141F89957B05}">
  <dimension ref="A1:H201"/>
  <sheetViews>
    <sheetView workbookViewId="0">
      <selection activeCell="T27" sqref="T27"/>
    </sheetView>
  </sheetViews>
  <sheetFormatPr defaultRowHeight="15" x14ac:dyDescent="0.25"/>
  <cols>
    <col min="1" max="1" width="19" customWidth="1"/>
    <col min="3" max="3" width="21.42578125" style="4" customWidth="1"/>
    <col min="6" max="6" width="8.140625" customWidth="1"/>
    <col min="7" max="7" width="13.85546875" customWidth="1"/>
  </cols>
  <sheetData>
    <row r="1" spans="1:8" ht="15.75" thickBot="1" x14ac:dyDescent="0.3">
      <c r="A1" s="30" t="s">
        <v>14</v>
      </c>
      <c r="C1" s="32" t="s">
        <v>13</v>
      </c>
      <c r="F1" s="31" t="s">
        <v>4</v>
      </c>
      <c r="H1" s="31" t="s">
        <v>1</v>
      </c>
    </row>
    <row r="2" spans="1:8" x14ac:dyDescent="0.25">
      <c r="A2" s="99">
        <v>5.6712962962962967E-4</v>
      </c>
      <c r="C2" s="4">
        <f>MINUTE(A2) + SECOND(A2)/60</f>
        <v>0.81666666666666665</v>
      </c>
      <c r="F2" s="2"/>
      <c r="H2" s="2" cm="1">
        <f t="array" ref="H2:H8">FREQUENCY(C2:C100, F3:F8)</f>
        <v>0</v>
      </c>
    </row>
    <row r="3" spans="1:8" x14ac:dyDescent="0.25">
      <c r="A3" s="98">
        <v>1.9675925432238728E-4</v>
      </c>
      <c r="C3" s="4">
        <f t="shared" ref="C3:C66" si="0">MINUTE(A3) + SECOND(A3)/60</f>
        <v>0.28333333333333333</v>
      </c>
      <c r="F3" s="2">
        <v>0</v>
      </c>
      <c r="H3" s="2">
        <v>3</v>
      </c>
    </row>
    <row r="4" spans="1:8" x14ac:dyDescent="0.25">
      <c r="A4" s="98">
        <v>1.4104861111263745E-3</v>
      </c>
      <c r="C4" s="4">
        <f t="shared" si="0"/>
        <v>2.0333333333333332</v>
      </c>
      <c r="F4" s="2">
        <v>1</v>
      </c>
      <c r="H4" s="2">
        <v>20</v>
      </c>
    </row>
    <row r="5" spans="1:8" x14ac:dyDescent="0.25">
      <c r="A5" s="98">
        <v>2.2222222222222222E-3</v>
      </c>
      <c r="C5" s="4">
        <f t="shared" si="0"/>
        <v>3.2</v>
      </c>
      <c r="F5" s="2">
        <v>2</v>
      </c>
      <c r="H5" s="2">
        <v>37</v>
      </c>
    </row>
    <row r="6" spans="1:8" x14ac:dyDescent="0.25">
      <c r="A6" s="98">
        <v>2.9007407429162413E-3</v>
      </c>
      <c r="C6" s="4">
        <f t="shared" si="0"/>
        <v>4.1833333333333336</v>
      </c>
      <c r="F6" s="2">
        <v>3</v>
      </c>
      <c r="H6" s="2">
        <v>25</v>
      </c>
    </row>
    <row r="7" spans="1:8" x14ac:dyDescent="0.25">
      <c r="A7" s="98">
        <v>2.5115740740740741E-3</v>
      </c>
      <c r="C7" s="4">
        <f t="shared" si="0"/>
        <v>3.6166666666666667</v>
      </c>
      <c r="F7" s="2">
        <v>4</v>
      </c>
      <c r="H7" s="2">
        <v>10</v>
      </c>
    </row>
    <row r="8" spans="1:8" x14ac:dyDescent="0.25">
      <c r="A8" s="98">
        <v>2.2290046326816082E-3</v>
      </c>
      <c r="C8" s="4">
        <f t="shared" si="0"/>
        <v>3.2166666666666668</v>
      </c>
      <c r="F8" s="2">
        <v>5</v>
      </c>
      <c r="H8" s="2">
        <v>4</v>
      </c>
    </row>
    <row r="9" spans="1:8" x14ac:dyDescent="0.25">
      <c r="A9" s="98">
        <v>1.6934027808019891E-3</v>
      </c>
      <c r="C9" s="4">
        <f t="shared" si="0"/>
        <v>2.4333333333333336</v>
      </c>
    </row>
    <row r="10" spans="1:8" x14ac:dyDescent="0.25">
      <c r="A10" s="98">
        <v>1.1828703718492761E-3</v>
      </c>
      <c r="C10" s="4">
        <f t="shared" si="0"/>
        <v>1.7</v>
      </c>
      <c r="G10" t="s">
        <v>64</v>
      </c>
      <c r="H10">
        <f>SUM(_xlfn.ANCHORARRAY(H2))</f>
        <v>99</v>
      </c>
    </row>
    <row r="11" spans="1:8" x14ac:dyDescent="0.25">
      <c r="A11" s="98">
        <v>2.1799421301693656E-3</v>
      </c>
      <c r="C11" s="4">
        <f t="shared" si="0"/>
        <v>3.1333333333333333</v>
      </c>
    </row>
    <row r="12" spans="1:8" ht="15.75" thickBot="1" x14ac:dyDescent="0.3">
      <c r="A12" s="98">
        <v>2.3939351813169196E-3</v>
      </c>
      <c r="C12" s="4">
        <f t="shared" si="0"/>
        <v>3.45</v>
      </c>
    </row>
    <row r="13" spans="1:8" ht="15.75" thickBot="1" x14ac:dyDescent="0.3">
      <c r="A13" s="98">
        <v>1.1312152782920748E-3</v>
      </c>
      <c r="C13" s="4">
        <f t="shared" si="0"/>
        <v>1.6333333333333333</v>
      </c>
      <c r="G13" s="11" t="s">
        <v>7</v>
      </c>
      <c r="H13" s="12" t="s">
        <v>65</v>
      </c>
    </row>
    <row r="14" spans="1:8" x14ac:dyDescent="0.25">
      <c r="A14" s="98">
        <v>1.8000810232479125E-3</v>
      </c>
      <c r="C14" s="4">
        <f t="shared" si="0"/>
        <v>2.6</v>
      </c>
    </row>
    <row r="15" spans="1:8" x14ac:dyDescent="0.25">
      <c r="A15" s="98">
        <v>2.0964120412827469E-3</v>
      </c>
      <c r="C15" s="4">
        <f t="shared" si="0"/>
        <v>3.0166666666666666</v>
      </c>
    </row>
    <row r="16" spans="1:8" x14ac:dyDescent="0.25">
      <c r="A16" s="98">
        <v>1.279166666790843E-3</v>
      </c>
      <c r="C16" s="4">
        <f t="shared" si="0"/>
        <v>1.85</v>
      </c>
      <c r="G16" t="s">
        <v>66</v>
      </c>
      <c r="H16" s="4">
        <f>AVERAGE(C2:C100)</f>
        <v>2.7937710437710441</v>
      </c>
    </row>
    <row r="17" spans="1:8" x14ac:dyDescent="0.25">
      <c r="A17" s="98">
        <v>2.0090740727027878E-3</v>
      </c>
      <c r="C17" s="4">
        <f t="shared" si="0"/>
        <v>2.9</v>
      </c>
      <c r="G17" t="s">
        <v>67</v>
      </c>
      <c r="H17" s="4">
        <f>_xlfn.VAR.P(C2:C100)</f>
        <v>1.0545150721581666</v>
      </c>
    </row>
    <row r="18" spans="1:8" x14ac:dyDescent="0.25">
      <c r="A18" s="98">
        <v>1.261574074074074E-3</v>
      </c>
      <c r="C18" s="4">
        <f t="shared" si="0"/>
        <v>1.8166666666666667</v>
      </c>
      <c r="G18" t="s">
        <v>68</v>
      </c>
      <c r="H18" s="4">
        <f>_xlfn.STDEV.P(C2:C100)</f>
        <v>1.026895842896526</v>
      </c>
    </row>
    <row r="19" spans="1:8" x14ac:dyDescent="0.25">
      <c r="A19" s="98">
        <v>1.9584143519750796E-3</v>
      </c>
      <c r="C19" s="4">
        <f t="shared" si="0"/>
        <v>2.8166666666666664</v>
      </c>
    </row>
    <row r="20" spans="1:8" x14ac:dyDescent="0.25">
      <c r="A20" s="98">
        <v>2.3726851851851851E-3</v>
      </c>
      <c r="C20" s="4">
        <f t="shared" si="0"/>
        <v>3.4166666666666665</v>
      </c>
    </row>
    <row r="21" spans="1:8" x14ac:dyDescent="0.25">
      <c r="A21" s="98">
        <v>1.100891204259824E-3</v>
      </c>
      <c r="C21" s="4">
        <f t="shared" si="0"/>
        <v>1.5833333333333335</v>
      </c>
    </row>
    <row r="22" spans="1:8" x14ac:dyDescent="0.25">
      <c r="A22" s="98">
        <v>2.7864236108143814E-3</v>
      </c>
      <c r="C22" s="4">
        <f t="shared" si="0"/>
        <v>4.0166666666666666</v>
      </c>
    </row>
    <row r="23" spans="1:8" x14ac:dyDescent="0.25">
      <c r="A23" s="98">
        <v>1.4351851851851852E-3</v>
      </c>
      <c r="C23" s="4">
        <f t="shared" si="0"/>
        <v>2.0666666666666669</v>
      </c>
    </row>
    <row r="24" spans="1:8" x14ac:dyDescent="0.25">
      <c r="A24" s="98">
        <v>2.1064814814814813E-3</v>
      </c>
      <c r="C24" s="4">
        <f t="shared" si="0"/>
        <v>3.0333333333333332</v>
      </c>
    </row>
    <row r="25" spans="1:8" x14ac:dyDescent="0.25">
      <c r="A25" s="98">
        <v>1.3421759285847656E-3</v>
      </c>
      <c r="C25" s="4">
        <f t="shared" si="0"/>
        <v>1.9333333333333333</v>
      </c>
    </row>
    <row r="26" spans="1:8" x14ac:dyDescent="0.25">
      <c r="A26" s="98">
        <v>1.4945601869840175E-3</v>
      </c>
      <c r="C26" s="4">
        <f t="shared" si="0"/>
        <v>2.15</v>
      </c>
    </row>
    <row r="27" spans="1:8" x14ac:dyDescent="0.25">
      <c r="A27" s="98">
        <v>1.6814004629850388E-3</v>
      </c>
      <c r="C27" s="4">
        <f t="shared" si="0"/>
        <v>2.4166666666666665</v>
      </c>
    </row>
    <row r="28" spans="1:8" x14ac:dyDescent="0.25">
      <c r="A28" s="98">
        <v>1.0105671244673431E-3</v>
      </c>
      <c r="C28" s="4">
        <f t="shared" si="0"/>
        <v>1.45</v>
      </c>
    </row>
    <row r="29" spans="1:8" x14ac:dyDescent="0.25">
      <c r="A29" s="98">
        <v>1.2271643499843776E-3</v>
      </c>
      <c r="C29" s="4">
        <f t="shared" si="0"/>
        <v>1.7666666666666666</v>
      </c>
    </row>
    <row r="30" spans="1:8" x14ac:dyDescent="0.25">
      <c r="A30" s="98">
        <v>2.8703703703703703E-3</v>
      </c>
      <c r="C30" s="4">
        <f t="shared" si="0"/>
        <v>4.1333333333333337</v>
      </c>
    </row>
    <row r="31" spans="1:8" x14ac:dyDescent="0.25">
      <c r="A31" s="98">
        <v>2.2543171362485737E-3</v>
      </c>
      <c r="C31" s="4">
        <f t="shared" si="0"/>
        <v>3.25</v>
      </c>
    </row>
    <row r="32" spans="1:8" x14ac:dyDescent="0.25">
      <c r="A32" s="98">
        <v>3.7397685227915645E-3</v>
      </c>
      <c r="C32" s="4">
        <f t="shared" si="0"/>
        <v>5.3833333333333337</v>
      </c>
    </row>
    <row r="33" spans="1:3" x14ac:dyDescent="0.25">
      <c r="A33" s="98">
        <v>2.1282754678395577E-3</v>
      </c>
      <c r="C33" s="4">
        <f t="shared" si="0"/>
        <v>3.0666666666666669</v>
      </c>
    </row>
    <row r="34" spans="1:3" x14ac:dyDescent="0.25">
      <c r="A34" s="98">
        <v>1.8326388890272938E-3</v>
      </c>
      <c r="C34" s="4">
        <f t="shared" si="0"/>
        <v>2.6333333333333333</v>
      </c>
    </row>
    <row r="35" spans="1:3" x14ac:dyDescent="0.25">
      <c r="A35" s="98">
        <v>4.6296296296296298E-4</v>
      </c>
      <c r="C35" s="4">
        <f t="shared" si="0"/>
        <v>0.66666666666666663</v>
      </c>
    </row>
    <row r="36" spans="1:3" x14ac:dyDescent="0.25">
      <c r="A36" s="98">
        <v>2.1384259234764613E-3</v>
      </c>
      <c r="C36" s="4">
        <f t="shared" si="0"/>
        <v>3.0833333333333335</v>
      </c>
    </row>
    <row r="37" spans="1:3" x14ac:dyDescent="0.25">
      <c r="A37" s="98">
        <v>3.8657407407407408E-3</v>
      </c>
      <c r="C37" s="4">
        <f t="shared" si="0"/>
        <v>5.5666666666666664</v>
      </c>
    </row>
    <row r="38" spans="1:3" x14ac:dyDescent="0.25">
      <c r="A38" s="98">
        <v>2.4547106440877542E-3</v>
      </c>
      <c r="C38" s="4">
        <f t="shared" si="0"/>
        <v>3.5333333333333332</v>
      </c>
    </row>
    <row r="39" spans="1:3" x14ac:dyDescent="0.25">
      <c r="A39" s="98">
        <v>1.0444097206345759E-3</v>
      </c>
      <c r="C39" s="4">
        <f t="shared" si="0"/>
        <v>1.5</v>
      </c>
    </row>
    <row r="40" spans="1:3" x14ac:dyDescent="0.25">
      <c r="A40" s="98">
        <v>1.8858796247513965E-3</v>
      </c>
      <c r="C40" s="4">
        <f t="shared" si="0"/>
        <v>2.7166666666666668</v>
      </c>
    </row>
    <row r="41" spans="1:3" x14ac:dyDescent="0.25">
      <c r="A41" s="98">
        <v>9.4166666531236842E-4</v>
      </c>
      <c r="C41" s="4">
        <f t="shared" si="0"/>
        <v>1.35</v>
      </c>
    </row>
    <row r="42" spans="1:3" x14ac:dyDescent="0.25">
      <c r="A42" s="98">
        <v>1.9280439810245298E-3</v>
      </c>
      <c r="C42" s="4">
        <f t="shared" si="0"/>
        <v>2.7833333333333332</v>
      </c>
    </row>
    <row r="43" spans="1:3" x14ac:dyDescent="0.25">
      <c r="A43" s="98">
        <v>1.6782407407407408E-3</v>
      </c>
      <c r="C43" s="4">
        <f t="shared" si="0"/>
        <v>2.4166666666666665</v>
      </c>
    </row>
    <row r="44" spans="1:3" x14ac:dyDescent="0.25">
      <c r="A44" s="98">
        <v>2.478587965015322E-3</v>
      </c>
      <c r="C44" s="4">
        <f t="shared" si="0"/>
        <v>3.5666666666666664</v>
      </c>
    </row>
    <row r="45" spans="1:3" x14ac:dyDescent="0.25">
      <c r="A45" s="98">
        <v>3.1139699058257975E-3</v>
      </c>
      <c r="C45" s="4">
        <f t="shared" si="0"/>
        <v>4.4833333333333334</v>
      </c>
    </row>
    <row r="46" spans="1:3" x14ac:dyDescent="0.25">
      <c r="A46" s="98">
        <v>2.1412037037037038E-3</v>
      </c>
      <c r="C46" s="4">
        <f t="shared" si="0"/>
        <v>3.0833333333333335</v>
      </c>
    </row>
    <row r="47" spans="1:3" x14ac:dyDescent="0.25">
      <c r="A47" s="98">
        <v>1.3597916695289314E-3</v>
      </c>
      <c r="C47" s="4">
        <f t="shared" si="0"/>
        <v>1.95</v>
      </c>
    </row>
    <row r="48" spans="1:3" x14ac:dyDescent="0.25">
      <c r="A48" s="98">
        <v>1.9349537033122033E-3</v>
      </c>
      <c r="C48" s="4">
        <f t="shared" si="0"/>
        <v>2.7833333333333332</v>
      </c>
    </row>
    <row r="49" spans="1:3" x14ac:dyDescent="0.25">
      <c r="A49" s="98">
        <v>1.5964583362801932E-3</v>
      </c>
      <c r="C49" s="4">
        <f t="shared" si="0"/>
        <v>2.2999999999999998</v>
      </c>
    </row>
    <row r="50" spans="1:3" x14ac:dyDescent="0.25">
      <c r="A50" s="98">
        <v>2.4524652762920596E-3</v>
      </c>
      <c r="C50" s="4">
        <f t="shared" si="0"/>
        <v>3.5333333333333332</v>
      </c>
    </row>
    <row r="51" spans="1:3" x14ac:dyDescent="0.25">
      <c r="A51" s="98">
        <v>1.438738421711605E-3</v>
      </c>
      <c r="C51" s="4">
        <f t="shared" si="0"/>
        <v>2.0666666666666669</v>
      </c>
    </row>
    <row r="52" spans="1:3" x14ac:dyDescent="0.25">
      <c r="A52" s="98">
        <v>1.4827893464826047E-3</v>
      </c>
      <c r="C52" s="4">
        <f t="shared" si="0"/>
        <v>2.1333333333333333</v>
      </c>
    </row>
    <row r="53" spans="1:3" x14ac:dyDescent="0.25">
      <c r="A53" s="98">
        <v>3.1883101910352707E-3</v>
      </c>
      <c r="C53" s="4">
        <f t="shared" si="0"/>
        <v>4.583333333333333</v>
      </c>
    </row>
    <row r="54" spans="1:3" x14ac:dyDescent="0.25">
      <c r="A54" s="98">
        <v>2.1670138885383494E-3</v>
      </c>
      <c r="C54" s="4">
        <f t="shared" si="0"/>
        <v>3.1166666666666667</v>
      </c>
    </row>
    <row r="55" spans="1:3" x14ac:dyDescent="0.25">
      <c r="A55" s="98">
        <v>2.8371180524118245E-3</v>
      </c>
      <c r="C55" s="4">
        <f t="shared" si="0"/>
        <v>4.083333333333333</v>
      </c>
    </row>
    <row r="56" spans="1:3" x14ac:dyDescent="0.25">
      <c r="A56" s="98">
        <v>2.520219910365995E-3</v>
      </c>
      <c r="C56" s="4">
        <f t="shared" si="0"/>
        <v>3.6333333333333333</v>
      </c>
    </row>
    <row r="57" spans="1:3" x14ac:dyDescent="0.25">
      <c r="A57" s="98">
        <v>3.2209490746026859E-3</v>
      </c>
      <c r="C57" s="4">
        <f t="shared" si="0"/>
        <v>4.6333333333333329</v>
      </c>
    </row>
    <row r="58" spans="1:3" x14ac:dyDescent="0.25">
      <c r="A58" s="98">
        <v>3.5004629680770449E-3</v>
      </c>
      <c r="C58" s="4">
        <f t="shared" si="0"/>
        <v>5.0333333333333332</v>
      </c>
    </row>
    <row r="59" spans="1:3" x14ac:dyDescent="0.25">
      <c r="A59" s="98">
        <v>3.6111111111111109E-3</v>
      </c>
      <c r="C59" s="4">
        <f t="shared" si="0"/>
        <v>5.2</v>
      </c>
    </row>
    <row r="60" spans="1:3" x14ac:dyDescent="0.25">
      <c r="A60" s="98">
        <v>2.4555092604714446E-3</v>
      </c>
      <c r="C60" s="4">
        <f t="shared" si="0"/>
        <v>3.5333333333333332</v>
      </c>
    </row>
    <row r="61" spans="1:3" x14ac:dyDescent="0.25">
      <c r="A61" s="98">
        <v>2.1925115725025535E-3</v>
      </c>
      <c r="C61" s="4">
        <f t="shared" si="0"/>
        <v>3.15</v>
      </c>
    </row>
    <row r="62" spans="1:3" x14ac:dyDescent="0.25">
      <c r="A62" s="98">
        <v>2.2038657407392748E-3</v>
      </c>
      <c r="C62" s="4">
        <f t="shared" si="0"/>
        <v>3.1666666666666665</v>
      </c>
    </row>
    <row r="63" spans="1:3" x14ac:dyDescent="0.25">
      <c r="A63" s="98">
        <v>1.3310185185185185E-3</v>
      </c>
      <c r="C63" s="4">
        <f t="shared" si="0"/>
        <v>1.9166666666666665</v>
      </c>
    </row>
    <row r="64" spans="1:3" x14ac:dyDescent="0.25">
      <c r="A64" s="98">
        <v>1.1870370362885296E-3</v>
      </c>
      <c r="C64" s="4">
        <f t="shared" si="0"/>
        <v>1.7166666666666668</v>
      </c>
    </row>
    <row r="65" spans="1:3" x14ac:dyDescent="0.25">
      <c r="A65" s="98">
        <v>1.9927777757402509E-3</v>
      </c>
      <c r="C65" s="4">
        <f t="shared" si="0"/>
        <v>2.8666666666666667</v>
      </c>
    </row>
    <row r="66" spans="1:3" x14ac:dyDescent="0.25">
      <c r="A66" s="98">
        <v>1.8555902715888806E-3</v>
      </c>
      <c r="C66" s="4">
        <f t="shared" si="0"/>
        <v>2.6666666666666665</v>
      </c>
    </row>
    <row r="67" spans="1:3" x14ac:dyDescent="0.25">
      <c r="A67" s="98">
        <v>1.7467245343141258E-3</v>
      </c>
      <c r="C67" s="4">
        <f t="shared" ref="C67:C100" si="1">MINUTE(A67) + SECOND(A67)/60</f>
        <v>2.5166666666666666</v>
      </c>
    </row>
    <row r="68" spans="1:3" x14ac:dyDescent="0.25">
      <c r="A68" s="98">
        <v>1.1841435189126059E-3</v>
      </c>
      <c r="C68" s="4">
        <f t="shared" si="1"/>
        <v>1.7</v>
      </c>
    </row>
    <row r="69" spans="1:3" x14ac:dyDescent="0.25">
      <c r="A69" s="98">
        <v>1.9656944423331879E-3</v>
      </c>
      <c r="C69" s="4">
        <f t="shared" si="1"/>
        <v>2.8333333333333335</v>
      </c>
    </row>
    <row r="70" spans="1:3" x14ac:dyDescent="0.25">
      <c r="A70" s="98">
        <v>1.4760069461772218E-3</v>
      </c>
      <c r="C70" s="4">
        <f t="shared" si="1"/>
        <v>2.1333333333333333</v>
      </c>
    </row>
    <row r="71" spans="1:3" x14ac:dyDescent="0.25">
      <c r="A71" s="98">
        <v>1.4160069404169917E-3</v>
      </c>
      <c r="C71" s="4">
        <f t="shared" si="1"/>
        <v>2.0333333333333332</v>
      </c>
    </row>
    <row r="72" spans="1:3" x14ac:dyDescent="0.25">
      <c r="A72" s="98">
        <v>1.6512384245288558E-3</v>
      </c>
      <c r="C72" s="4">
        <f t="shared" si="1"/>
        <v>2.3833333333333333</v>
      </c>
    </row>
    <row r="73" spans="1:3" x14ac:dyDescent="0.25">
      <c r="A73" s="98">
        <v>1.8064814794342965E-3</v>
      </c>
      <c r="C73" s="4">
        <f t="shared" si="1"/>
        <v>2.6</v>
      </c>
    </row>
    <row r="74" spans="1:3" x14ac:dyDescent="0.25">
      <c r="A74" s="98">
        <v>1.5481481459573843E-3</v>
      </c>
      <c r="C74" s="4">
        <f t="shared" si="1"/>
        <v>2.2333333333333334</v>
      </c>
    </row>
    <row r="75" spans="1:3" x14ac:dyDescent="0.25">
      <c r="A75" s="98">
        <v>1.9461458286968991E-3</v>
      </c>
      <c r="C75" s="4">
        <f t="shared" si="1"/>
        <v>2.8</v>
      </c>
    </row>
    <row r="76" spans="1:3" x14ac:dyDescent="0.25">
      <c r="A76" s="98">
        <v>3.1791319415788166E-3</v>
      </c>
      <c r="C76" s="4">
        <f t="shared" si="1"/>
        <v>4.583333333333333</v>
      </c>
    </row>
    <row r="77" spans="1:3" x14ac:dyDescent="0.25">
      <c r="A77" s="98">
        <v>2.2389583391486667E-3</v>
      </c>
      <c r="C77" s="4">
        <f t="shared" si="1"/>
        <v>3.2166666666666668</v>
      </c>
    </row>
    <row r="78" spans="1:3" x14ac:dyDescent="0.25">
      <c r="A78" s="98">
        <v>2.3092245392035693E-3</v>
      </c>
      <c r="C78" s="4">
        <f t="shared" si="1"/>
        <v>3.3333333333333335</v>
      </c>
    </row>
    <row r="79" spans="1:3" x14ac:dyDescent="0.25">
      <c r="A79" s="98">
        <v>1.5972222222222223E-3</v>
      </c>
      <c r="C79" s="4">
        <f t="shared" si="1"/>
        <v>2.2999999999999998</v>
      </c>
    </row>
    <row r="80" spans="1:3" x14ac:dyDescent="0.25">
      <c r="A80" s="98">
        <v>1.9319444400025532E-3</v>
      </c>
      <c r="C80" s="4">
        <f t="shared" si="1"/>
        <v>2.7833333333333332</v>
      </c>
    </row>
    <row r="81" spans="1:3" x14ac:dyDescent="0.25">
      <c r="A81" s="98">
        <v>2.6598726835800335E-3</v>
      </c>
      <c r="C81" s="4">
        <f t="shared" si="1"/>
        <v>3.8333333333333335</v>
      </c>
    </row>
    <row r="82" spans="1:3" x14ac:dyDescent="0.25">
      <c r="A82" s="98">
        <v>1.2348842647043057E-3</v>
      </c>
      <c r="C82" s="4">
        <f t="shared" si="1"/>
        <v>1.7833333333333332</v>
      </c>
    </row>
    <row r="83" spans="1:3" x14ac:dyDescent="0.25">
      <c r="A83" s="98">
        <v>1.4978009276092052E-3</v>
      </c>
      <c r="C83" s="4">
        <f t="shared" si="1"/>
        <v>2.15</v>
      </c>
    </row>
    <row r="84" spans="1:3" x14ac:dyDescent="0.25">
      <c r="A84" s="98">
        <v>1.6016203662729822E-3</v>
      </c>
      <c r="C84" s="4">
        <f t="shared" si="1"/>
        <v>2.2999999999999998</v>
      </c>
    </row>
    <row r="85" spans="1:3" x14ac:dyDescent="0.25">
      <c r="A85" s="98">
        <v>1.344062497082632E-3</v>
      </c>
      <c r="C85" s="4">
        <f t="shared" si="1"/>
        <v>1.9333333333333333</v>
      </c>
    </row>
    <row r="86" spans="1:3" x14ac:dyDescent="0.25">
      <c r="A86" s="98">
        <v>2.1618865794152953E-3</v>
      </c>
      <c r="C86" s="4">
        <f t="shared" si="1"/>
        <v>3.1166666666666667</v>
      </c>
    </row>
    <row r="87" spans="1:3" x14ac:dyDescent="0.25">
      <c r="A87" s="98">
        <v>3.2562152773607522E-3</v>
      </c>
      <c r="C87" s="4">
        <f t="shared" si="1"/>
        <v>4.6833333333333336</v>
      </c>
    </row>
    <row r="88" spans="1:3" x14ac:dyDescent="0.25">
      <c r="A88" s="98">
        <v>1.8442592554492876E-3</v>
      </c>
      <c r="C88" s="4">
        <f t="shared" si="1"/>
        <v>2.65</v>
      </c>
    </row>
    <row r="89" spans="1:3" x14ac:dyDescent="0.25">
      <c r="A89" s="98">
        <v>1.7932060218299739E-3</v>
      </c>
      <c r="C89" s="4">
        <f t="shared" si="1"/>
        <v>2.5833333333333335</v>
      </c>
    </row>
    <row r="90" spans="1:3" x14ac:dyDescent="0.25">
      <c r="A90" s="98">
        <v>1.5950578672345728E-3</v>
      </c>
      <c r="C90" s="4">
        <f t="shared" si="1"/>
        <v>2.2999999999999998</v>
      </c>
    </row>
    <row r="91" spans="1:3" x14ac:dyDescent="0.25">
      <c r="A91" s="98">
        <v>1.8838773103198037E-3</v>
      </c>
      <c r="C91" s="4">
        <f t="shared" si="1"/>
        <v>2.7166666666666668</v>
      </c>
    </row>
    <row r="92" spans="1:3" x14ac:dyDescent="0.25">
      <c r="A92" s="98">
        <v>2.2992708327365108E-3</v>
      </c>
      <c r="C92" s="4">
        <f t="shared" si="1"/>
        <v>3.3166666666666664</v>
      </c>
    </row>
    <row r="93" spans="1:3" x14ac:dyDescent="0.25">
      <c r="A93" s="98">
        <v>1.2828703693230636E-3</v>
      </c>
      <c r="C93" s="4">
        <f t="shared" si="1"/>
        <v>1.85</v>
      </c>
    </row>
    <row r="94" spans="1:3" x14ac:dyDescent="0.25">
      <c r="A94" s="98">
        <v>1.3541666666666667E-3</v>
      </c>
      <c r="C94" s="4">
        <f t="shared" si="1"/>
        <v>1.95</v>
      </c>
    </row>
    <row r="95" spans="1:3" x14ac:dyDescent="0.25">
      <c r="A95" s="98">
        <v>1.6132754681166261E-3</v>
      </c>
      <c r="C95" s="4">
        <f t="shared" si="1"/>
        <v>2.3166666666666664</v>
      </c>
    </row>
    <row r="96" spans="1:3" x14ac:dyDescent="0.25">
      <c r="A96" s="98">
        <v>1.2002314761048183E-3</v>
      </c>
      <c r="C96" s="4">
        <f t="shared" si="1"/>
        <v>1.7333333333333334</v>
      </c>
    </row>
    <row r="97" spans="1:3" x14ac:dyDescent="0.25">
      <c r="A97" s="98">
        <v>3.4386921252007596E-3</v>
      </c>
      <c r="C97" s="4">
        <f t="shared" si="1"/>
        <v>4.95</v>
      </c>
    </row>
    <row r="98" spans="1:3" x14ac:dyDescent="0.25">
      <c r="A98" s="98">
        <v>1.3383564801188186E-3</v>
      </c>
      <c r="C98" s="4">
        <f t="shared" si="1"/>
        <v>1.9333333333333333</v>
      </c>
    </row>
    <row r="99" spans="1:3" x14ac:dyDescent="0.25">
      <c r="A99" s="98">
        <v>2.0833333333333333E-3</v>
      </c>
      <c r="C99" s="4">
        <f t="shared" si="1"/>
        <v>3</v>
      </c>
    </row>
    <row r="100" spans="1:3" x14ac:dyDescent="0.25">
      <c r="A100" s="98">
        <v>1.5393518518518519E-3</v>
      </c>
      <c r="C100" s="4">
        <f t="shared" si="1"/>
        <v>2.2166666666666668</v>
      </c>
    </row>
    <row r="101" spans="1:3" x14ac:dyDescent="0.25">
      <c r="A101" s="3"/>
    </row>
    <row r="102" spans="1:3" x14ac:dyDescent="0.25">
      <c r="A102" s="3"/>
    </row>
    <row r="103" spans="1:3" x14ac:dyDescent="0.25">
      <c r="A103" s="3"/>
    </row>
    <row r="104" spans="1:3" x14ac:dyDescent="0.25">
      <c r="A104" s="3"/>
    </row>
    <row r="105" spans="1:3" x14ac:dyDescent="0.25">
      <c r="A105" s="3"/>
    </row>
    <row r="106" spans="1:3" x14ac:dyDescent="0.25">
      <c r="A106" s="3"/>
    </row>
    <row r="107" spans="1:3" x14ac:dyDescent="0.25">
      <c r="A107" s="3"/>
    </row>
    <row r="108" spans="1:3" x14ac:dyDescent="0.25">
      <c r="A108" s="3"/>
    </row>
    <row r="109" spans="1:3" x14ac:dyDescent="0.25">
      <c r="A109" s="3"/>
    </row>
    <row r="110" spans="1:3" x14ac:dyDescent="0.25">
      <c r="A110" s="3"/>
    </row>
    <row r="111" spans="1:3" x14ac:dyDescent="0.25">
      <c r="A111" s="3"/>
    </row>
    <row r="112" spans="1:3" x14ac:dyDescent="0.25">
      <c r="A112" s="3"/>
    </row>
    <row r="113" spans="1:1" x14ac:dyDescent="0.25">
      <c r="A113" s="3"/>
    </row>
    <row r="114" spans="1:1" x14ac:dyDescent="0.25">
      <c r="A114" s="3"/>
    </row>
    <row r="115" spans="1:1" x14ac:dyDescent="0.25">
      <c r="A115" s="3"/>
    </row>
    <row r="116" spans="1:1" x14ac:dyDescent="0.25">
      <c r="A116" s="3"/>
    </row>
    <row r="117" spans="1:1" x14ac:dyDescent="0.25">
      <c r="A117" s="3"/>
    </row>
    <row r="118" spans="1:1" x14ac:dyDescent="0.25">
      <c r="A118" s="3"/>
    </row>
    <row r="119" spans="1:1" x14ac:dyDescent="0.25">
      <c r="A119" s="3"/>
    </row>
    <row r="120" spans="1:1" x14ac:dyDescent="0.25">
      <c r="A120" s="3"/>
    </row>
    <row r="121" spans="1:1" x14ac:dyDescent="0.25">
      <c r="A121" s="3"/>
    </row>
    <row r="122" spans="1:1" x14ac:dyDescent="0.25">
      <c r="A122" s="3"/>
    </row>
    <row r="123" spans="1:1" x14ac:dyDescent="0.25">
      <c r="A123" s="3"/>
    </row>
    <row r="124" spans="1:1" x14ac:dyDescent="0.25">
      <c r="A124" s="3"/>
    </row>
    <row r="125" spans="1:1" x14ac:dyDescent="0.25">
      <c r="A125" s="3"/>
    </row>
    <row r="126" spans="1:1" x14ac:dyDescent="0.25">
      <c r="A126" s="3"/>
    </row>
    <row r="127" spans="1:1" x14ac:dyDescent="0.25">
      <c r="A127" s="3"/>
    </row>
    <row r="128" spans="1:1" x14ac:dyDescent="0.25">
      <c r="A128" s="3"/>
    </row>
    <row r="129" spans="1:1" x14ac:dyDescent="0.25">
      <c r="A129" s="3"/>
    </row>
    <row r="130" spans="1:1" x14ac:dyDescent="0.25">
      <c r="A130" s="3"/>
    </row>
    <row r="131" spans="1:1" x14ac:dyDescent="0.25">
      <c r="A131" s="3"/>
    </row>
    <row r="132" spans="1:1" x14ac:dyDescent="0.25">
      <c r="A132" s="3"/>
    </row>
    <row r="133" spans="1:1" x14ac:dyDescent="0.25">
      <c r="A133" s="3"/>
    </row>
    <row r="134" spans="1:1" x14ac:dyDescent="0.25">
      <c r="A134" s="3"/>
    </row>
    <row r="135" spans="1:1" x14ac:dyDescent="0.25">
      <c r="A135" s="3"/>
    </row>
    <row r="136" spans="1:1" x14ac:dyDescent="0.25">
      <c r="A136" s="3"/>
    </row>
    <row r="137" spans="1:1" x14ac:dyDescent="0.25">
      <c r="A137" s="3"/>
    </row>
    <row r="138" spans="1:1" x14ac:dyDescent="0.25">
      <c r="A138" s="3"/>
    </row>
    <row r="139" spans="1:1" x14ac:dyDescent="0.25">
      <c r="A139" s="3"/>
    </row>
    <row r="140" spans="1:1" x14ac:dyDescent="0.25">
      <c r="A140" s="3"/>
    </row>
    <row r="141" spans="1:1" x14ac:dyDescent="0.25">
      <c r="A141" s="3"/>
    </row>
    <row r="142" spans="1:1" x14ac:dyDescent="0.25">
      <c r="A142" s="3"/>
    </row>
    <row r="143" spans="1:1" x14ac:dyDescent="0.25">
      <c r="A143" s="3"/>
    </row>
    <row r="144" spans="1:1" x14ac:dyDescent="0.25">
      <c r="A144" s="3"/>
    </row>
    <row r="145" spans="1:1" x14ac:dyDescent="0.25">
      <c r="A145" s="3"/>
    </row>
    <row r="146" spans="1:1" x14ac:dyDescent="0.25">
      <c r="A146" s="3"/>
    </row>
    <row r="147" spans="1:1" x14ac:dyDescent="0.25">
      <c r="A147" s="3"/>
    </row>
    <row r="148" spans="1:1" x14ac:dyDescent="0.25">
      <c r="A148" s="3"/>
    </row>
    <row r="149" spans="1:1" x14ac:dyDescent="0.25">
      <c r="A149" s="3"/>
    </row>
    <row r="150" spans="1:1" x14ac:dyDescent="0.25">
      <c r="A150" s="3"/>
    </row>
    <row r="151" spans="1:1" x14ac:dyDescent="0.25">
      <c r="A151" s="3"/>
    </row>
    <row r="152" spans="1:1" x14ac:dyDescent="0.25">
      <c r="A152" s="3"/>
    </row>
    <row r="153" spans="1:1" x14ac:dyDescent="0.25">
      <c r="A153" s="3"/>
    </row>
    <row r="154" spans="1:1" x14ac:dyDescent="0.25">
      <c r="A154" s="3"/>
    </row>
    <row r="155" spans="1:1" x14ac:dyDescent="0.25">
      <c r="A155" s="3"/>
    </row>
    <row r="156" spans="1:1" x14ac:dyDescent="0.25">
      <c r="A156" s="3"/>
    </row>
    <row r="157" spans="1:1" x14ac:dyDescent="0.25">
      <c r="A157" s="3"/>
    </row>
    <row r="158" spans="1:1" x14ac:dyDescent="0.25">
      <c r="A158" s="3"/>
    </row>
    <row r="159" spans="1:1" x14ac:dyDescent="0.25">
      <c r="A159" s="3"/>
    </row>
    <row r="160" spans="1:1" x14ac:dyDescent="0.25">
      <c r="A160" s="3"/>
    </row>
    <row r="161" spans="1:1" x14ac:dyDescent="0.25">
      <c r="A161" s="3"/>
    </row>
    <row r="162" spans="1:1" x14ac:dyDescent="0.25">
      <c r="A162" s="3"/>
    </row>
    <row r="163" spans="1:1" x14ac:dyDescent="0.25">
      <c r="A163" s="3"/>
    </row>
    <row r="164" spans="1:1" x14ac:dyDescent="0.25">
      <c r="A164" s="3"/>
    </row>
    <row r="165" spans="1:1" x14ac:dyDescent="0.25">
      <c r="A165" s="3"/>
    </row>
    <row r="166" spans="1:1" x14ac:dyDescent="0.25">
      <c r="A166" s="3"/>
    </row>
    <row r="167" spans="1:1" x14ac:dyDescent="0.25">
      <c r="A167" s="3"/>
    </row>
    <row r="168" spans="1:1" x14ac:dyDescent="0.25">
      <c r="A168" s="3"/>
    </row>
    <row r="169" spans="1:1" x14ac:dyDescent="0.25">
      <c r="A169" s="3"/>
    </row>
    <row r="170" spans="1:1" x14ac:dyDescent="0.25">
      <c r="A170" s="3"/>
    </row>
    <row r="171" spans="1:1" x14ac:dyDescent="0.25">
      <c r="A171" s="3"/>
    </row>
    <row r="172" spans="1:1" x14ac:dyDescent="0.25">
      <c r="A172" s="3"/>
    </row>
    <row r="173" spans="1:1" x14ac:dyDescent="0.25">
      <c r="A173" s="3"/>
    </row>
    <row r="174" spans="1:1" x14ac:dyDescent="0.25">
      <c r="A174" s="3"/>
    </row>
    <row r="175" spans="1:1" x14ac:dyDescent="0.25">
      <c r="A175" s="3"/>
    </row>
    <row r="176" spans="1:1" x14ac:dyDescent="0.25">
      <c r="A176" s="3"/>
    </row>
    <row r="177" spans="1:1" x14ac:dyDescent="0.25">
      <c r="A177" s="3"/>
    </row>
    <row r="178" spans="1:1" x14ac:dyDescent="0.25">
      <c r="A178" s="3"/>
    </row>
    <row r="179" spans="1:1" x14ac:dyDescent="0.25">
      <c r="A179" s="3"/>
    </row>
    <row r="180" spans="1:1" x14ac:dyDescent="0.25">
      <c r="A180" s="3"/>
    </row>
    <row r="181" spans="1:1" x14ac:dyDescent="0.25">
      <c r="A181" s="3"/>
    </row>
    <row r="182" spans="1:1" x14ac:dyDescent="0.25">
      <c r="A182" s="3"/>
    </row>
    <row r="183" spans="1:1" x14ac:dyDescent="0.25">
      <c r="A183" s="3"/>
    </row>
    <row r="184" spans="1:1" x14ac:dyDescent="0.25">
      <c r="A184" s="3"/>
    </row>
    <row r="185" spans="1:1" x14ac:dyDescent="0.25">
      <c r="A185" s="3"/>
    </row>
    <row r="186" spans="1:1" x14ac:dyDescent="0.25">
      <c r="A186" s="3"/>
    </row>
    <row r="187" spans="1:1" x14ac:dyDescent="0.25">
      <c r="A187" s="3"/>
    </row>
    <row r="188" spans="1:1" x14ac:dyDescent="0.25">
      <c r="A188" s="3"/>
    </row>
    <row r="189" spans="1:1" x14ac:dyDescent="0.25">
      <c r="A189" s="3"/>
    </row>
    <row r="190" spans="1:1" x14ac:dyDescent="0.25">
      <c r="A190" s="3"/>
    </row>
    <row r="191" spans="1:1" x14ac:dyDescent="0.25">
      <c r="A191" s="3"/>
    </row>
    <row r="192" spans="1:1" x14ac:dyDescent="0.25">
      <c r="A192" s="3"/>
    </row>
    <row r="193" spans="1:1" x14ac:dyDescent="0.25">
      <c r="A193" s="3"/>
    </row>
    <row r="194" spans="1:1" x14ac:dyDescent="0.25">
      <c r="A194" s="3"/>
    </row>
    <row r="195" spans="1:1" x14ac:dyDescent="0.25">
      <c r="A195" s="3"/>
    </row>
    <row r="196" spans="1:1" x14ac:dyDescent="0.25">
      <c r="A196" s="3"/>
    </row>
    <row r="197" spans="1:1" x14ac:dyDescent="0.25">
      <c r="A197" s="3"/>
    </row>
    <row r="198" spans="1:1" x14ac:dyDescent="0.25">
      <c r="A198" s="3"/>
    </row>
    <row r="199" spans="1:1" x14ac:dyDescent="0.25">
      <c r="A199" s="3"/>
    </row>
    <row r="200" spans="1:1" x14ac:dyDescent="0.25">
      <c r="A200" s="3"/>
    </row>
    <row r="201" spans="1:1" x14ac:dyDescent="0.25">
      <c r="A201" s="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46E35-0E44-4091-B41B-FB41FE8E507D}">
  <dimension ref="B2:Q15"/>
  <sheetViews>
    <sheetView workbookViewId="0">
      <selection activeCell="W7" sqref="W7"/>
    </sheetView>
  </sheetViews>
  <sheetFormatPr defaultRowHeight="15" x14ac:dyDescent="0.25"/>
  <cols>
    <col min="3" max="3" width="9.140625" style="13" customWidth="1"/>
    <col min="4" max="4" width="9.5703125" customWidth="1"/>
    <col min="7" max="7" width="11.42578125" customWidth="1"/>
    <col min="8" max="8" width="15" customWidth="1"/>
    <col min="14" max="14" width="11.42578125" customWidth="1"/>
  </cols>
  <sheetData>
    <row r="2" spans="2:17" ht="31.5" customHeight="1" x14ac:dyDescent="0.25">
      <c r="B2" s="76" t="s">
        <v>62</v>
      </c>
      <c r="C2" s="76"/>
      <c r="D2" s="76"/>
      <c r="E2" s="76"/>
      <c r="F2" s="76"/>
      <c r="G2" s="76"/>
      <c r="H2" s="76"/>
      <c r="N2" s="78" t="s">
        <v>23</v>
      </c>
      <c r="O2" s="79"/>
      <c r="P2" s="79"/>
      <c r="Q2" s="80"/>
    </row>
    <row r="3" spans="2:17" ht="31.5" x14ac:dyDescent="0.25">
      <c r="B3" s="77" t="s">
        <v>63</v>
      </c>
      <c r="C3" s="77"/>
      <c r="D3" s="20" t="s">
        <v>17</v>
      </c>
      <c r="E3" s="20" t="s">
        <v>18</v>
      </c>
      <c r="F3" s="20" t="s">
        <v>19</v>
      </c>
      <c r="G3" s="20" t="s">
        <v>20</v>
      </c>
      <c r="H3" s="20" t="s">
        <v>21</v>
      </c>
      <c r="N3" s="14" t="s">
        <v>24</v>
      </c>
      <c r="O3" s="81" t="s">
        <v>25</v>
      </c>
      <c r="P3" s="81" t="s">
        <v>26</v>
      </c>
      <c r="Q3" s="81" t="s">
        <v>27</v>
      </c>
    </row>
    <row r="4" spans="2:17" ht="15.75" customHeight="1" x14ac:dyDescent="0.25">
      <c r="B4" s="21">
        <v>0</v>
      </c>
      <c r="C4" s="22">
        <v>2</v>
      </c>
      <c r="D4" s="2">
        <v>41</v>
      </c>
      <c r="E4" s="2">
        <f>((1-EXP(-L5*C4))-(1-EXP(-L5*B4)))*L4</f>
        <v>37.421064854430504</v>
      </c>
      <c r="F4" s="2">
        <f>D4-E4</f>
        <v>3.5789351455694955</v>
      </c>
      <c r="G4" s="2">
        <f>F4^2</f>
        <v>12.808776776192547</v>
      </c>
      <c r="H4" s="2">
        <f>G4/E4</f>
        <v>0.3422878751852525</v>
      </c>
      <c r="K4" s="27" t="s">
        <v>15</v>
      </c>
      <c r="L4" s="27">
        <v>99</v>
      </c>
      <c r="N4" s="15" t="s">
        <v>28</v>
      </c>
      <c r="O4" s="82"/>
      <c r="P4" s="82"/>
      <c r="Q4" s="82"/>
    </row>
    <row r="5" spans="2:17" ht="15.75" x14ac:dyDescent="0.25">
      <c r="B5" s="21">
        <v>2</v>
      </c>
      <c r="C5" s="22">
        <v>4</v>
      </c>
      <c r="D5" s="2">
        <v>25</v>
      </c>
      <c r="E5" s="2">
        <f>((1-EXP(-L5*C5))-(1-EXP(-L5*B5)))*L4</f>
        <v>23.276255815647733</v>
      </c>
      <c r="F5" s="2">
        <f t="shared" ref="F5:F8" si="0">D5-E5</f>
        <v>1.7237441843522667</v>
      </c>
      <c r="G5" s="2">
        <f t="shared" ref="G5:G9" si="1">F5^2</f>
        <v>2.9712940130882615</v>
      </c>
      <c r="H5" s="2">
        <f t="shared" ref="H5:H8" si="2">G5/E5</f>
        <v>0.12765343518396866</v>
      </c>
      <c r="K5" s="49" t="s">
        <v>16</v>
      </c>
      <c r="L5" s="49">
        <v>0.2374</v>
      </c>
      <c r="N5" s="16">
        <v>1</v>
      </c>
      <c r="O5" s="17" t="s">
        <v>29</v>
      </c>
      <c r="P5" s="17" t="s">
        <v>30</v>
      </c>
      <c r="Q5" s="17" t="s">
        <v>31</v>
      </c>
    </row>
    <row r="6" spans="2:17" ht="15.75" x14ac:dyDescent="0.25">
      <c r="B6" s="21">
        <v>4</v>
      </c>
      <c r="C6" s="22">
        <v>6</v>
      </c>
      <c r="D6" s="2">
        <v>12</v>
      </c>
      <c r="E6" s="2">
        <f>((1-EXP(-L5*C6))-(1-EXP(-L5*B6)))*L4</f>
        <v>14.478050982863202</v>
      </c>
      <c r="F6" s="2">
        <f t="shared" si="0"/>
        <v>-2.478050982863202</v>
      </c>
      <c r="G6" s="2">
        <f t="shared" si="1"/>
        <v>6.1407366736692817</v>
      </c>
      <c r="H6" s="2">
        <f t="shared" si="2"/>
        <v>0.42414111408626082</v>
      </c>
      <c r="N6" s="16">
        <v>2</v>
      </c>
      <c r="O6" s="17" t="s">
        <v>32</v>
      </c>
      <c r="P6" s="17" t="s">
        <v>33</v>
      </c>
      <c r="Q6" s="17" t="s">
        <v>34</v>
      </c>
    </row>
    <row r="7" spans="2:17" ht="15.75" x14ac:dyDescent="0.25">
      <c r="B7" s="21">
        <v>6</v>
      </c>
      <c r="C7" s="22">
        <v>8</v>
      </c>
      <c r="D7" s="2">
        <v>5</v>
      </c>
      <c r="E7" s="2">
        <f>((1-EXP(-L5*C7))-(1-EXP(-L5*B7)))*L4</f>
        <v>9.0054844697775938</v>
      </c>
      <c r="F7" s="2">
        <f t="shared" si="0"/>
        <v>-4.0054844697775938</v>
      </c>
      <c r="G7" s="2">
        <f t="shared" si="1"/>
        <v>16.043905837629492</v>
      </c>
      <c r="H7" s="2">
        <f t="shared" si="2"/>
        <v>1.7815705408712701</v>
      </c>
      <c r="J7" s="23" t="s">
        <v>22</v>
      </c>
      <c r="N7" s="16">
        <v>3</v>
      </c>
      <c r="O7" s="17" t="s">
        <v>35</v>
      </c>
      <c r="P7" s="17" t="s">
        <v>36</v>
      </c>
      <c r="Q7" s="17" t="s">
        <v>37</v>
      </c>
    </row>
    <row r="8" spans="2:17" ht="15.75" x14ac:dyDescent="0.25">
      <c r="B8" s="21">
        <v>8</v>
      </c>
      <c r="C8" s="22">
        <v>10</v>
      </c>
      <c r="D8" s="2">
        <v>3</v>
      </c>
      <c r="E8" s="2">
        <f>((1-EXP(-L5*C8))-(1-EXP(-L5*B8)))*L4</f>
        <v>5.6014964052410887</v>
      </c>
      <c r="F8" s="2">
        <f t="shared" si="0"/>
        <v>-2.6014964052410887</v>
      </c>
      <c r="G8" s="2">
        <f t="shared" si="1"/>
        <v>6.7677835464823071</v>
      </c>
      <c r="H8" s="2">
        <f t="shared" si="2"/>
        <v>1.208209924074926</v>
      </c>
      <c r="N8" s="18">
        <v>4</v>
      </c>
      <c r="O8" s="19" t="s">
        <v>38</v>
      </c>
      <c r="P8" s="17" t="s">
        <v>39</v>
      </c>
      <c r="Q8" s="17" t="s">
        <v>40</v>
      </c>
    </row>
    <row r="9" spans="2:17" ht="16.5" thickBot="1" x14ac:dyDescent="0.3">
      <c r="B9" s="21">
        <v>10</v>
      </c>
      <c r="C9" s="22">
        <v>20</v>
      </c>
      <c r="D9" s="2">
        <v>13</v>
      </c>
      <c r="E9" s="2">
        <f>((1-EXP(-L5*C9))-(1-EXP(-L5*B9)))*L4</f>
        <v>8.3594148971024822</v>
      </c>
      <c r="F9" s="2">
        <f>D9-E9</f>
        <v>4.6405851028975178</v>
      </c>
      <c r="G9" s="24">
        <f t="shared" si="1"/>
        <v>21.535030097234365</v>
      </c>
      <c r="H9" s="24">
        <f>G9/E9</f>
        <v>2.5761408378831367</v>
      </c>
      <c r="N9" s="16">
        <v>5</v>
      </c>
      <c r="O9" s="17" t="s">
        <v>41</v>
      </c>
      <c r="P9" s="17" t="s">
        <v>42</v>
      </c>
      <c r="Q9" s="17" t="s">
        <v>43</v>
      </c>
    </row>
    <row r="10" spans="2:17" ht="16.5" thickBot="1" x14ac:dyDescent="0.3">
      <c r="G10" s="25" t="s">
        <v>5</v>
      </c>
      <c r="H10" s="26">
        <f>SUM(H4:H9)</f>
        <v>6.460003727284815</v>
      </c>
      <c r="N10" s="16">
        <v>6</v>
      </c>
      <c r="O10" s="17" t="s">
        <v>44</v>
      </c>
      <c r="P10" s="17" t="s">
        <v>45</v>
      </c>
      <c r="Q10" s="17" t="s">
        <v>46</v>
      </c>
    </row>
    <row r="11" spans="2:17" ht="15.75" x14ac:dyDescent="0.25">
      <c r="N11" s="16">
        <v>7</v>
      </c>
      <c r="O11" s="17" t="s">
        <v>47</v>
      </c>
      <c r="P11" s="17" t="s">
        <v>48</v>
      </c>
      <c r="Q11" s="17" t="s">
        <v>49</v>
      </c>
    </row>
    <row r="12" spans="2:17" ht="15.75" x14ac:dyDescent="0.25">
      <c r="N12" s="16">
        <v>8</v>
      </c>
      <c r="O12" s="17" t="s">
        <v>50</v>
      </c>
      <c r="P12" s="17" t="s">
        <v>51</v>
      </c>
      <c r="Q12" s="17" t="s">
        <v>52</v>
      </c>
    </row>
    <row r="13" spans="2:17" ht="15.75" x14ac:dyDescent="0.25">
      <c r="H13" s="75" t="s">
        <v>59</v>
      </c>
      <c r="I13" s="75"/>
      <c r="J13" s="75"/>
      <c r="K13" s="75"/>
      <c r="N13" s="16">
        <v>9</v>
      </c>
      <c r="O13" s="17" t="s">
        <v>53</v>
      </c>
      <c r="P13" s="17" t="s">
        <v>54</v>
      </c>
      <c r="Q13" s="17" t="s">
        <v>55</v>
      </c>
    </row>
    <row r="14" spans="2:17" ht="16.5" thickBot="1" x14ac:dyDescent="0.3">
      <c r="N14" s="16">
        <v>10</v>
      </c>
      <c r="O14" s="17" t="s">
        <v>56</v>
      </c>
      <c r="P14" s="17" t="s">
        <v>57</v>
      </c>
      <c r="Q14" s="17" t="s">
        <v>58</v>
      </c>
    </row>
    <row r="15" spans="2:17" ht="15.75" thickBot="1" x14ac:dyDescent="0.3">
      <c r="I15" s="28" t="s">
        <v>61</v>
      </c>
      <c r="J15" s="29" t="s">
        <v>60</v>
      </c>
    </row>
  </sheetData>
  <mergeCells count="7">
    <mergeCell ref="H13:K13"/>
    <mergeCell ref="B2:H2"/>
    <mergeCell ref="B3:C3"/>
    <mergeCell ref="N2:Q2"/>
    <mergeCell ref="O3:O4"/>
    <mergeCell ref="P3:P4"/>
    <mergeCell ref="Q3:Q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EE835-59E9-4815-BF0C-1297C37B66A8}">
  <dimension ref="B2:W15"/>
  <sheetViews>
    <sheetView workbookViewId="0">
      <selection activeCell="D23" sqref="D23:E23"/>
    </sheetView>
  </sheetViews>
  <sheetFormatPr defaultRowHeight="15" x14ac:dyDescent="0.25"/>
  <cols>
    <col min="7" max="7" width="10.85546875" customWidth="1"/>
    <col min="8" max="8" width="14" customWidth="1"/>
    <col min="19" max="19" width="7.28515625" customWidth="1"/>
    <col min="20" max="20" width="10.42578125" customWidth="1"/>
  </cols>
  <sheetData>
    <row r="2" spans="2:23" ht="26.25" customHeight="1" x14ac:dyDescent="0.25">
      <c r="B2" s="76" t="s">
        <v>62</v>
      </c>
      <c r="C2" s="76"/>
      <c r="D2" s="76"/>
      <c r="E2" s="76"/>
      <c r="F2" s="76"/>
      <c r="G2" s="76"/>
      <c r="H2" s="76"/>
      <c r="L2" s="44" t="s">
        <v>64</v>
      </c>
      <c r="M2" s="45">
        <v>99</v>
      </c>
      <c r="T2" s="78" t="s">
        <v>23</v>
      </c>
      <c r="U2" s="79"/>
      <c r="V2" s="79"/>
      <c r="W2" s="80"/>
    </row>
    <row r="3" spans="2:23" ht="26.25" customHeight="1" x14ac:dyDescent="0.25">
      <c r="B3" s="77" t="s">
        <v>69</v>
      </c>
      <c r="C3" s="77"/>
      <c r="D3" s="20" t="s">
        <v>17</v>
      </c>
      <c r="E3" s="20" t="s">
        <v>18</v>
      </c>
      <c r="F3" s="20" t="s">
        <v>19</v>
      </c>
      <c r="G3" s="20" t="s">
        <v>20</v>
      </c>
      <c r="H3" s="20" t="s">
        <v>21</v>
      </c>
      <c r="L3" s="46" t="s">
        <v>70</v>
      </c>
      <c r="M3" s="47">
        <v>2.79</v>
      </c>
      <c r="T3" s="14" t="s">
        <v>24</v>
      </c>
      <c r="U3" s="81" t="s">
        <v>25</v>
      </c>
      <c r="V3" s="81" t="s">
        <v>26</v>
      </c>
      <c r="W3" s="81" t="s">
        <v>27</v>
      </c>
    </row>
    <row r="4" spans="2:23" ht="21" customHeight="1" x14ac:dyDescent="0.25">
      <c r="B4" s="23">
        <v>0</v>
      </c>
      <c r="C4" s="23">
        <v>1</v>
      </c>
      <c r="D4" s="2">
        <v>3</v>
      </c>
      <c r="E4" s="2">
        <f t="shared" ref="E4:E9" si="0">(_xlfn.NORM.DIST(C4, $M$3, $M$5, TRUE) - _xlfn.NORM.DIST(B4, $M$3, $M$5, TRUE)) * $M$2</f>
        <v>3.7362995384044746</v>
      </c>
      <c r="F4" s="2">
        <f>D4-E4</f>
        <v>-0.7362995384044746</v>
      </c>
      <c r="G4" s="2">
        <f>F4^2</f>
        <v>0.54213701025464234</v>
      </c>
      <c r="H4" s="2">
        <f>G4/E4</f>
        <v>0.14509998587697631</v>
      </c>
      <c r="L4" s="44" t="s">
        <v>71</v>
      </c>
      <c r="M4" s="45">
        <v>1.05</v>
      </c>
      <c r="T4" s="15" t="s">
        <v>28</v>
      </c>
      <c r="U4" s="82"/>
      <c r="V4" s="82"/>
      <c r="W4" s="82"/>
    </row>
    <row r="5" spans="2:23" ht="15.75" x14ac:dyDescent="0.25">
      <c r="B5" s="23">
        <v>1</v>
      </c>
      <c r="C5" s="23">
        <v>2</v>
      </c>
      <c r="D5" s="2">
        <v>20</v>
      </c>
      <c r="E5" s="2">
        <f t="shared" si="0"/>
        <v>17.86219980491466</v>
      </c>
      <c r="F5" s="2">
        <f t="shared" ref="F5:F9" si="1">D5-E5</f>
        <v>2.1378001950853402</v>
      </c>
      <c r="G5" s="2">
        <f t="shared" ref="G5:G9" si="2">F5^2</f>
        <v>4.5701896741069188</v>
      </c>
      <c r="H5" s="2">
        <f t="shared" ref="H5:H9" si="3">G5/E5</f>
        <v>0.25585816551270818</v>
      </c>
      <c r="L5" s="46" t="s">
        <v>72</v>
      </c>
      <c r="M5" s="47">
        <v>1.03</v>
      </c>
      <c r="T5" s="16">
        <v>1</v>
      </c>
      <c r="U5" s="17" t="s">
        <v>29</v>
      </c>
      <c r="V5" s="17" t="s">
        <v>30</v>
      </c>
      <c r="W5" s="17" t="s">
        <v>31</v>
      </c>
    </row>
    <row r="6" spans="2:23" ht="15.75" x14ac:dyDescent="0.25">
      <c r="B6" s="23">
        <v>2</v>
      </c>
      <c r="C6" s="23">
        <v>3</v>
      </c>
      <c r="D6" s="2">
        <v>37</v>
      </c>
      <c r="E6" s="2">
        <f t="shared" si="0"/>
        <v>35.564174360253716</v>
      </c>
      <c r="F6" s="2">
        <f t="shared" si="1"/>
        <v>1.4358256397462839</v>
      </c>
      <c r="G6" s="2">
        <f t="shared" si="2"/>
        <v>2.0615952677528253</v>
      </c>
      <c r="H6" s="2">
        <f t="shared" si="3"/>
        <v>5.7968315160912338E-2</v>
      </c>
      <c r="T6" s="16">
        <v>2</v>
      </c>
      <c r="U6" s="17" t="s">
        <v>32</v>
      </c>
      <c r="V6" s="17" t="s">
        <v>33</v>
      </c>
      <c r="W6" s="17" t="s">
        <v>34</v>
      </c>
    </row>
    <row r="7" spans="2:23" ht="15.75" x14ac:dyDescent="0.25">
      <c r="B7" s="23">
        <v>3</v>
      </c>
      <c r="C7" s="23">
        <v>4</v>
      </c>
      <c r="D7" s="2">
        <v>25</v>
      </c>
      <c r="E7" s="2">
        <f t="shared" si="0"/>
        <v>29.618459044725469</v>
      </c>
      <c r="F7" s="2">
        <f t="shared" si="1"/>
        <v>-4.6184590447254692</v>
      </c>
      <c r="G7" s="2">
        <f t="shared" si="2"/>
        <v>21.330163947806493</v>
      </c>
      <c r="H7" s="2">
        <f t="shared" si="3"/>
        <v>0.72016454048459433</v>
      </c>
      <c r="L7" s="48" t="s">
        <v>73</v>
      </c>
      <c r="T7" s="34">
        <v>3</v>
      </c>
      <c r="U7" s="36" t="s">
        <v>35</v>
      </c>
      <c r="V7" s="17" t="s">
        <v>36</v>
      </c>
      <c r="W7" s="17" t="s">
        <v>37</v>
      </c>
    </row>
    <row r="8" spans="2:23" ht="15.75" x14ac:dyDescent="0.25">
      <c r="B8" s="23">
        <v>4</v>
      </c>
      <c r="C8" s="23">
        <v>5</v>
      </c>
      <c r="D8" s="2">
        <v>10</v>
      </c>
      <c r="E8" s="2">
        <f t="shared" si="0"/>
        <v>10.305375817149445</v>
      </c>
      <c r="F8" s="2">
        <f t="shared" si="1"/>
        <v>-0.30537581714944473</v>
      </c>
      <c r="G8" s="2">
        <f t="shared" si="2"/>
        <v>9.3254389699691104E-2</v>
      </c>
      <c r="H8" s="2">
        <f t="shared" si="3"/>
        <v>9.0491012995861878E-3</v>
      </c>
      <c r="T8" s="35">
        <v>4</v>
      </c>
      <c r="U8" s="33" t="s">
        <v>38</v>
      </c>
      <c r="V8" s="17" t="s">
        <v>39</v>
      </c>
      <c r="W8" s="17" t="s">
        <v>40</v>
      </c>
    </row>
    <row r="9" spans="2:23" ht="16.5" thickBot="1" x14ac:dyDescent="0.3">
      <c r="B9" s="23">
        <v>5</v>
      </c>
      <c r="C9" s="23">
        <v>6</v>
      </c>
      <c r="D9" s="2">
        <v>4</v>
      </c>
      <c r="E9" s="2">
        <f t="shared" si="0"/>
        <v>1.4885807333590033</v>
      </c>
      <c r="F9" s="2">
        <f t="shared" si="1"/>
        <v>2.5114192666409965</v>
      </c>
      <c r="G9" s="24">
        <f t="shared" si="2"/>
        <v>6.3072267328556002</v>
      </c>
      <c r="H9" s="24">
        <f t="shared" si="3"/>
        <v>4.2370740071472337</v>
      </c>
      <c r="T9" s="16">
        <v>5</v>
      </c>
      <c r="U9" s="17" t="s">
        <v>41</v>
      </c>
      <c r="V9" s="17" t="s">
        <v>42</v>
      </c>
      <c r="W9" s="17" t="s">
        <v>43</v>
      </c>
    </row>
    <row r="10" spans="2:23" ht="16.5" thickBot="1" x14ac:dyDescent="0.3">
      <c r="G10" s="25" t="s">
        <v>5</v>
      </c>
      <c r="H10" s="26">
        <f>SUM(H4:H9)</f>
        <v>5.425214115482011</v>
      </c>
      <c r="T10" s="16">
        <v>6</v>
      </c>
      <c r="U10" s="17" t="s">
        <v>44</v>
      </c>
      <c r="V10" s="17" t="s">
        <v>45</v>
      </c>
      <c r="W10" s="17" t="s">
        <v>46</v>
      </c>
    </row>
    <row r="11" spans="2:23" ht="15.75" x14ac:dyDescent="0.25">
      <c r="T11" s="16">
        <v>7</v>
      </c>
      <c r="U11" s="17" t="s">
        <v>47</v>
      </c>
      <c r="V11" s="17" t="s">
        <v>48</v>
      </c>
      <c r="W11" s="17" t="s">
        <v>49</v>
      </c>
    </row>
    <row r="12" spans="2:23" ht="15.75" x14ac:dyDescent="0.25">
      <c r="T12" s="16">
        <v>8</v>
      </c>
      <c r="U12" s="17" t="s">
        <v>50</v>
      </c>
      <c r="V12" s="17" t="s">
        <v>51</v>
      </c>
      <c r="W12" s="17" t="s">
        <v>52</v>
      </c>
    </row>
    <row r="13" spans="2:23" ht="15.75" x14ac:dyDescent="0.25">
      <c r="J13" s="83" t="s">
        <v>74</v>
      </c>
      <c r="K13" s="83"/>
      <c r="L13" s="83"/>
      <c r="M13" s="83"/>
      <c r="N13" s="83"/>
      <c r="T13" s="16">
        <v>9</v>
      </c>
      <c r="U13" s="17" t="s">
        <v>53</v>
      </c>
      <c r="V13" s="17" t="s">
        <v>54</v>
      </c>
      <c r="W13" s="17" t="s">
        <v>55</v>
      </c>
    </row>
    <row r="14" spans="2:23" ht="16.5" thickBot="1" x14ac:dyDescent="0.3">
      <c r="T14" s="16">
        <v>10</v>
      </c>
      <c r="U14" s="17" t="s">
        <v>56</v>
      </c>
      <c r="V14" s="17" t="s">
        <v>57</v>
      </c>
      <c r="W14" s="17" t="s">
        <v>58</v>
      </c>
    </row>
    <row r="15" spans="2:23" ht="15.75" thickBot="1" x14ac:dyDescent="0.3">
      <c r="K15" s="25" t="s">
        <v>75</v>
      </c>
      <c r="L15" s="43" t="s">
        <v>76</v>
      </c>
    </row>
  </sheetData>
  <mergeCells count="7">
    <mergeCell ref="J13:N13"/>
    <mergeCell ref="B2:H2"/>
    <mergeCell ref="B3:C3"/>
    <mergeCell ref="T2:W2"/>
    <mergeCell ref="U3:U4"/>
    <mergeCell ref="V3:V4"/>
    <mergeCell ref="W3:W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3E8B4-DAA5-4A25-AB2E-A2D4BAB936F0}">
  <dimension ref="C3:X21"/>
  <sheetViews>
    <sheetView topLeftCell="B1" workbookViewId="0">
      <selection activeCell="I27" sqref="I27"/>
    </sheetView>
  </sheetViews>
  <sheetFormatPr defaultRowHeight="15" x14ac:dyDescent="0.25"/>
  <cols>
    <col min="19" max="19" width="5.28515625" customWidth="1"/>
    <col min="20" max="20" width="18.28515625" customWidth="1"/>
  </cols>
  <sheetData>
    <row r="3" spans="3:24" ht="15.75" thickBot="1" x14ac:dyDescent="0.3"/>
    <row r="4" spans="3:24" ht="24" customHeight="1" x14ac:dyDescent="0.25">
      <c r="C4" s="91" t="s">
        <v>148</v>
      </c>
      <c r="D4" s="91"/>
      <c r="F4" s="50" t="s">
        <v>81</v>
      </c>
      <c r="G4" s="50" t="s">
        <v>82</v>
      </c>
      <c r="H4" s="50" t="s">
        <v>83</v>
      </c>
      <c r="I4" s="50" t="s">
        <v>84</v>
      </c>
      <c r="J4" s="50" t="s">
        <v>85</v>
      </c>
      <c r="K4" s="50" t="s">
        <v>86</v>
      </c>
      <c r="L4" s="50" t="s">
        <v>87</v>
      </c>
      <c r="M4" s="50" t="s">
        <v>88</v>
      </c>
      <c r="N4" s="50" t="s">
        <v>89</v>
      </c>
      <c r="O4" s="50" t="s">
        <v>90</v>
      </c>
      <c r="T4" s="84" t="s">
        <v>95</v>
      </c>
      <c r="U4" s="85"/>
      <c r="V4" s="85"/>
      <c r="W4" s="85"/>
      <c r="X4" s="86"/>
    </row>
    <row r="5" spans="3:24" ht="18" customHeight="1" thickBot="1" x14ac:dyDescent="0.3">
      <c r="C5" s="52" t="s">
        <v>77</v>
      </c>
      <c r="D5" s="53">
        <v>7</v>
      </c>
      <c r="F5" s="51">
        <f>MOD(D6*D5+D8,D7)</f>
        <v>13</v>
      </c>
      <c r="G5" s="51">
        <f>MOD(D6*F5+D7,D8)</f>
        <v>75</v>
      </c>
      <c r="H5" s="51">
        <f>MOD(D6*G5+D7,D8)</f>
        <v>19</v>
      </c>
      <c r="I5" s="51">
        <f>MOD(D6*H5+D7,D8)</f>
        <v>47</v>
      </c>
      <c r="J5" s="51">
        <f>MOD(D6*I5+D7,D8)</f>
        <v>83</v>
      </c>
      <c r="K5" s="51">
        <f>MOD(D6*J5+D7,D8)</f>
        <v>15</v>
      </c>
      <c r="L5" s="51">
        <f>MOD(D6*K5+D7,D8)</f>
        <v>99</v>
      </c>
      <c r="M5" s="51">
        <f>MOD(D6*L5+D7,D8)</f>
        <v>7</v>
      </c>
      <c r="N5" s="51">
        <f>MOD(D6*M5+D7,D8)</f>
        <v>3</v>
      </c>
      <c r="O5" s="51">
        <f>MOD(D6*N5+D7,D8)</f>
        <v>55</v>
      </c>
      <c r="T5" s="37" t="s">
        <v>24</v>
      </c>
      <c r="U5" s="87" t="s">
        <v>96</v>
      </c>
      <c r="V5" s="89" t="s">
        <v>25</v>
      </c>
      <c r="W5" s="87" t="s">
        <v>97</v>
      </c>
      <c r="X5" s="87" t="s">
        <v>26</v>
      </c>
    </row>
    <row r="6" spans="3:24" ht="23.25" customHeight="1" thickBot="1" x14ac:dyDescent="0.3">
      <c r="C6" s="52" t="s">
        <v>78</v>
      </c>
      <c r="D6" s="53">
        <v>12</v>
      </c>
      <c r="T6" s="38" t="s">
        <v>28</v>
      </c>
      <c r="U6" s="88"/>
      <c r="V6" s="90"/>
      <c r="W6" s="88"/>
      <c r="X6" s="88"/>
    </row>
    <row r="7" spans="3:24" ht="15.75" x14ac:dyDescent="0.25">
      <c r="C7" s="52" t="s">
        <v>79</v>
      </c>
      <c r="D7" s="53">
        <v>19</v>
      </c>
      <c r="F7" s="50" t="s">
        <v>138</v>
      </c>
      <c r="G7" s="50" t="s">
        <v>139</v>
      </c>
      <c r="H7" s="50" t="s">
        <v>141</v>
      </c>
      <c r="I7" s="50" t="s">
        <v>140</v>
      </c>
      <c r="J7" s="50" t="s">
        <v>142</v>
      </c>
      <c r="K7" s="50" t="s">
        <v>143</v>
      </c>
      <c r="L7" s="50" t="s">
        <v>144</v>
      </c>
      <c r="M7" s="50" t="s">
        <v>145</v>
      </c>
      <c r="N7" s="50" t="s">
        <v>146</v>
      </c>
      <c r="O7" s="50" t="s">
        <v>147</v>
      </c>
      <c r="T7" s="39">
        <v>1</v>
      </c>
      <c r="U7" s="40" t="s">
        <v>98</v>
      </c>
      <c r="V7" s="40" t="s">
        <v>99</v>
      </c>
      <c r="W7" s="40" t="s">
        <v>100</v>
      </c>
      <c r="X7" s="41" t="s">
        <v>101</v>
      </c>
    </row>
    <row r="8" spans="3:24" ht="16.5" thickBot="1" x14ac:dyDescent="0.3">
      <c r="C8" s="52" t="s">
        <v>80</v>
      </c>
      <c r="D8" s="53">
        <v>100</v>
      </c>
      <c r="F8" s="51">
        <f>F5/D8</f>
        <v>0.13</v>
      </c>
      <c r="G8" s="51">
        <f>G5/D8</f>
        <v>0.75</v>
      </c>
      <c r="H8" s="51">
        <f>H5/D8</f>
        <v>0.19</v>
      </c>
      <c r="I8" s="51">
        <f>I5/D8</f>
        <v>0.47</v>
      </c>
      <c r="J8" s="51">
        <f>K5/D8</f>
        <v>0.15</v>
      </c>
      <c r="K8" s="51">
        <f>K5/D8</f>
        <v>0.15</v>
      </c>
      <c r="L8" s="51">
        <f>L5/D8</f>
        <v>0.99</v>
      </c>
      <c r="M8" s="51">
        <f>M5/D8</f>
        <v>7.0000000000000007E-2</v>
      </c>
      <c r="N8" s="51">
        <f>N5/D8</f>
        <v>0.03</v>
      </c>
      <c r="O8" s="51">
        <f>O5/D8</f>
        <v>0.55000000000000004</v>
      </c>
      <c r="T8" s="39">
        <v>2</v>
      </c>
      <c r="U8" s="40" t="s">
        <v>102</v>
      </c>
      <c r="V8" s="40" t="s">
        <v>103</v>
      </c>
      <c r="W8" s="40" t="s">
        <v>104</v>
      </c>
      <c r="X8" s="41" t="s">
        <v>105</v>
      </c>
    </row>
    <row r="9" spans="3:24" ht="15.75" x14ac:dyDescent="0.25">
      <c r="T9" s="39">
        <v>3</v>
      </c>
      <c r="U9" s="40" t="s">
        <v>106</v>
      </c>
      <c r="V9" s="40" t="s">
        <v>107</v>
      </c>
      <c r="W9" s="40" t="s">
        <v>108</v>
      </c>
      <c r="X9" s="41" t="s">
        <v>109</v>
      </c>
    </row>
    <row r="10" spans="3:24" ht="15.75" x14ac:dyDescent="0.25">
      <c r="T10" s="39">
        <v>4</v>
      </c>
      <c r="U10" s="40" t="s">
        <v>110</v>
      </c>
      <c r="V10" s="40" t="s">
        <v>111</v>
      </c>
      <c r="W10" s="40" t="s">
        <v>112</v>
      </c>
      <c r="X10" s="41" t="s">
        <v>113</v>
      </c>
    </row>
    <row r="11" spans="3:24" ht="15.75" x14ac:dyDescent="0.25">
      <c r="T11" s="39">
        <v>5</v>
      </c>
      <c r="U11" s="40" t="s">
        <v>114</v>
      </c>
      <c r="V11" s="40" t="s">
        <v>115</v>
      </c>
      <c r="W11" s="40" t="s">
        <v>116</v>
      </c>
      <c r="X11" s="41" t="s">
        <v>117</v>
      </c>
    </row>
    <row r="12" spans="3:24" ht="15.75" x14ac:dyDescent="0.25">
      <c r="E12" s="54" t="s">
        <v>91</v>
      </c>
      <c r="F12" s="55">
        <v>0.05</v>
      </c>
      <c r="G12" s="55">
        <v>0.25</v>
      </c>
      <c r="H12" s="55">
        <v>0.32</v>
      </c>
      <c r="I12" s="55">
        <v>0.43</v>
      </c>
      <c r="J12" s="55">
        <v>0.52</v>
      </c>
      <c r="K12" s="55">
        <v>0.52</v>
      </c>
      <c r="L12" s="55">
        <v>0.66</v>
      </c>
      <c r="M12" s="55">
        <v>0.72</v>
      </c>
      <c r="N12" s="55">
        <v>0.83</v>
      </c>
      <c r="O12" s="56">
        <v>0.86</v>
      </c>
      <c r="T12" s="39">
        <v>6</v>
      </c>
      <c r="U12" s="40" t="s">
        <v>118</v>
      </c>
      <c r="V12" s="40" t="s">
        <v>119</v>
      </c>
      <c r="W12" s="40" t="s">
        <v>120</v>
      </c>
      <c r="X12" s="41" t="s">
        <v>121</v>
      </c>
    </row>
    <row r="13" spans="3:24" ht="15.75" x14ac:dyDescent="0.25">
      <c r="E13" s="57" t="s">
        <v>92</v>
      </c>
      <c r="F13">
        <v>0.1</v>
      </c>
      <c r="G13">
        <v>0.2</v>
      </c>
      <c r="H13">
        <v>0.3</v>
      </c>
      <c r="I13">
        <v>0.4</v>
      </c>
      <c r="J13">
        <v>0.5</v>
      </c>
      <c r="K13">
        <v>0.6</v>
      </c>
      <c r="L13">
        <v>0.7</v>
      </c>
      <c r="M13">
        <v>0.8</v>
      </c>
      <c r="N13">
        <v>0.9</v>
      </c>
      <c r="O13" s="58">
        <v>1</v>
      </c>
      <c r="T13" s="39">
        <v>7</v>
      </c>
      <c r="U13" s="40" t="s">
        <v>122</v>
      </c>
      <c r="V13" s="40" t="s">
        <v>123</v>
      </c>
      <c r="W13" s="40" t="s">
        <v>124</v>
      </c>
      <c r="X13" s="41" t="s">
        <v>125</v>
      </c>
    </row>
    <row r="14" spans="3:24" ht="15.75" x14ac:dyDescent="0.25">
      <c r="E14" s="57" t="s">
        <v>93</v>
      </c>
      <c r="F14">
        <f>F13-F12</f>
        <v>0.05</v>
      </c>
      <c r="G14">
        <f t="shared" ref="G14:O14" si="0">G13-G12</f>
        <v>-4.9999999999999989E-2</v>
      </c>
      <c r="H14">
        <f t="shared" si="0"/>
        <v>-2.0000000000000018E-2</v>
      </c>
      <c r="I14">
        <f t="shared" si="0"/>
        <v>-2.9999999999999971E-2</v>
      </c>
      <c r="J14">
        <f t="shared" si="0"/>
        <v>-2.0000000000000018E-2</v>
      </c>
      <c r="K14">
        <f t="shared" si="0"/>
        <v>7.999999999999996E-2</v>
      </c>
      <c r="L14">
        <f t="shared" si="0"/>
        <v>3.9999999999999925E-2</v>
      </c>
      <c r="M14">
        <f t="shared" si="0"/>
        <v>8.0000000000000071E-2</v>
      </c>
      <c r="N14">
        <f t="shared" si="0"/>
        <v>7.0000000000000062E-2</v>
      </c>
      <c r="O14" s="58">
        <f t="shared" si="0"/>
        <v>0.14000000000000001</v>
      </c>
      <c r="T14" s="39">
        <v>8</v>
      </c>
      <c r="U14" s="40" t="s">
        <v>126</v>
      </c>
      <c r="V14" s="40" t="s">
        <v>127</v>
      </c>
      <c r="W14" s="40" t="s">
        <v>128</v>
      </c>
      <c r="X14" s="41" t="s">
        <v>129</v>
      </c>
    </row>
    <row r="15" spans="3:24" ht="15.75" x14ac:dyDescent="0.25">
      <c r="E15" s="59" t="s">
        <v>94</v>
      </c>
      <c r="F15" s="60">
        <f>F12-(1-1)/10</f>
        <v>0.05</v>
      </c>
      <c r="G15" s="60">
        <f>G12-(2-1)/10</f>
        <v>0.15</v>
      </c>
      <c r="H15" s="60">
        <f>H12-(3-1)/10</f>
        <v>0.12</v>
      </c>
      <c r="I15" s="60">
        <f>I12-(4-1)/10</f>
        <v>0.13</v>
      </c>
      <c r="J15" s="60">
        <f>J12-(5-1)/10</f>
        <v>0.12</v>
      </c>
      <c r="K15" s="60">
        <f>K12-(6-1)/10</f>
        <v>2.0000000000000018E-2</v>
      </c>
      <c r="L15" s="60">
        <f>L12-(7-1)/10</f>
        <v>6.0000000000000053E-2</v>
      </c>
      <c r="M15" s="60">
        <f>M12-(8-1)/10</f>
        <v>2.0000000000000018E-2</v>
      </c>
      <c r="N15" s="60">
        <f>N12-(9-1)/10</f>
        <v>2.9999999999999916E-2</v>
      </c>
      <c r="O15" s="61">
        <f>O12-(10-1)/10</f>
        <v>-4.0000000000000036E-2</v>
      </c>
      <c r="T15" s="39">
        <v>9</v>
      </c>
      <c r="U15" s="40" t="s">
        <v>130</v>
      </c>
      <c r="V15" s="40" t="s">
        <v>131</v>
      </c>
      <c r="W15" s="40" t="s">
        <v>132</v>
      </c>
      <c r="X15" s="41" t="s">
        <v>133</v>
      </c>
    </row>
    <row r="16" spans="3:24" ht="15.75" x14ac:dyDescent="0.25">
      <c r="T16" s="39">
        <v>10</v>
      </c>
      <c r="U16" s="40" t="s">
        <v>134</v>
      </c>
      <c r="V16" s="42" t="s">
        <v>135</v>
      </c>
      <c r="W16" s="40" t="s">
        <v>136</v>
      </c>
      <c r="X16" s="41" t="s">
        <v>137</v>
      </c>
    </row>
    <row r="17" spans="4:12" ht="15.75" thickBot="1" x14ac:dyDescent="0.3"/>
    <row r="18" spans="4:12" ht="21" customHeight="1" x14ac:dyDescent="0.25">
      <c r="D18" s="92" t="s">
        <v>149</v>
      </c>
      <c r="E18" s="93"/>
      <c r="F18" s="62">
        <f>LARGE(F14:O14,1)</f>
        <v>0.14000000000000001</v>
      </c>
      <c r="I18" s="96" t="s">
        <v>151</v>
      </c>
      <c r="J18" s="96"/>
      <c r="K18" s="96"/>
      <c r="L18" s="96"/>
    </row>
    <row r="19" spans="4:12" ht="24" customHeight="1" thickBot="1" x14ac:dyDescent="0.3">
      <c r="D19" s="94" t="s">
        <v>150</v>
      </c>
      <c r="E19" s="95"/>
      <c r="F19" s="63">
        <f>LARGE(F15:O15,1)</f>
        <v>0.15</v>
      </c>
    </row>
    <row r="20" spans="4:12" x14ac:dyDescent="0.25">
      <c r="I20" s="97" t="s">
        <v>152</v>
      </c>
      <c r="J20" s="97"/>
      <c r="K20" s="97"/>
      <c r="L20" s="97"/>
    </row>
    <row r="21" spans="4:12" x14ac:dyDescent="0.25">
      <c r="I21" s="97"/>
      <c r="J21" s="97"/>
      <c r="K21" s="97"/>
      <c r="L21" s="97"/>
    </row>
  </sheetData>
  <mergeCells count="10">
    <mergeCell ref="C4:D4"/>
    <mergeCell ref="D18:E18"/>
    <mergeCell ref="D19:E19"/>
    <mergeCell ref="I18:L18"/>
    <mergeCell ref="I20:L21"/>
    <mergeCell ref="T4:X4"/>
    <mergeCell ref="U5:U6"/>
    <mergeCell ref="V5:V6"/>
    <mergeCell ref="W5:W6"/>
    <mergeCell ref="X5:X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ABD5A-A497-44C1-95BB-57B12DBA48B4}">
  <dimension ref="A1:E11"/>
  <sheetViews>
    <sheetView workbookViewId="0">
      <selection activeCell="G15" sqref="G15"/>
    </sheetView>
  </sheetViews>
  <sheetFormatPr defaultRowHeight="15" x14ac:dyDescent="0.25"/>
  <cols>
    <col min="1" max="1" width="7.28515625" customWidth="1"/>
    <col min="2" max="2" width="9.140625" customWidth="1"/>
    <col min="3" max="3" width="18.7109375" customWidth="1"/>
    <col min="4" max="4" width="9.5703125" customWidth="1"/>
    <col min="5" max="5" width="21.42578125" customWidth="1"/>
    <col min="6" max="6" width="8.7109375" customWidth="1"/>
  </cols>
  <sheetData>
    <row r="1" spans="1:5" x14ac:dyDescent="0.25">
      <c r="A1" s="72" t="s">
        <v>153</v>
      </c>
      <c r="B1" s="73" t="s">
        <v>154</v>
      </c>
      <c r="C1" s="74" t="s">
        <v>155</v>
      </c>
      <c r="D1" s="73" t="s">
        <v>156</v>
      </c>
      <c r="E1" s="74" t="s">
        <v>157</v>
      </c>
    </row>
    <row r="2" spans="1:5" x14ac:dyDescent="0.25">
      <c r="A2" s="67">
        <v>1</v>
      </c>
      <c r="B2" s="68">
        <v>0.13</v>
      </c>
      <c r="C2" s="69">
        <f>-(1/0.2374)*LN(1-B2)</f>
        <v>0.58661359449666239</v>
      </c>
      <c r="D2" s="68">
        <v>0.13</v>
      </c>
      <c r="E2" s="69">
        <f>_xlfn.NORM.INV(D2, 2.79, 1.03)</f>
        <v>1.6298171370900347</v>
      </c>
    </row>
    <row r="3" spans="1:5" x14ac:dyDescent="0.25">
      <c r="A3" s="67">
        <v>2</v>
      </c>
      <c r="B3" s="68">
        <v>0.75</v>
      </c>
      <c r="C3" s="69">
        <f t="shared" ref="C3:C11" si="0">-(1/0.2374)*LN(1-B3)</f>
        <v>5.8394876205555617</v>
      </c>
      <c r="D3" s="68">
        <v>0.75</v>
      </c>
      <c r="E3" s="69">
        <f t="shared" ref="E3:E11" si="1">_xlfn.NORM.INV(D3, 2.79, 1.03)</f>
        <v>3.4847244427019644</v>
      </c>
    </row>
    <row r="4" spans="1:5" x14ac:dyDescent="0.25">
      <c r="A4" s="67">
        <v>3</v>
      </c>
      <c r="B4" s="68">
        <v>0.19</v>
      </c>
      <c r="C4" s="69">
        <f t="shared" si="0"/>
        <v>0.88762018245851948</v>
      </c>
      <c r="D4" s="68">
        <v>0.19</v>
      </c>
      <c r="E4" s="69">
        <f t="shared" si="1"/>
        <v>1.8857668160972347</v>
      </c>
    </row>
    <row r="5" spans="1:5" x14ac:dyDescent="0.25">
      <c r="A5" s="67">
        <v>4</v>
      </c>
      <c r="B5" s="68">
        <v>0.47</v>
      </c>
      <c r="C5" s="69">
        <f t="shared" si="0"/>
        <v>2.6742976934960803</v>
      </c>
      <c r="D5" s="68">
        <v>0.47</v>
      </c>
      <c r="E5" s="69">
        <f t="shared" si="1"/>
        <v>2.7124720420371751</v>
      </c>
    </row>
    <row r="6" spans="1:5" x14ac:dyDescent="0.25">
      <c r="A6" s="67">
        <v>5</v>
      </c>
      <c r="B6" s="68">
        <v>0.15</v>
      </c>
      <c r="C6" s="69">
        <f t="shared" si="0"/>
        <v>0.68457847303190789</v>
      </c>
      <c r="D6" s="68">
        <v>0.15</v>
      </c>
      <c r="E6" s="69">
        <f t="shared" si="1"/>
        <v>1.7224736088213966</v>
      </c>
    </row>
    <row r="7" spans="1:5" x14ac:dyDescent="0.25">
      <c r="A7" s="67">
        <v>6</v>
      </c>
      <c r="B7" s="68">
        <v>0.15</v>
      </c>
      <c r="C7" s="69">
        <f t="shared" si="0"/>
        <v>0.68457847303190789</v>
      </c>
      <c r="D7" s="68">
        <v>0.15</v>
      </c>
      <c r="E7" s="69">
        <f t="shared" si="1"/>
        <v>1.7224736088213966</v>
      </c>
    </row>
    <row r="8" spans="1:5" x14ac:dyDescent="0.25">
      <c r="A8" s="67">
        <v>7</v>
      </c>
      <c r="B8" s="68">
        <v>0.99</v>
      </c>
      <c r="C8" s="69">
        <f t="shared" si="0"/>
        <v>19.398357986470472</v>
      </c>
      <c r="D8" s="68">
        <v>0.99</v>
      </c>
      <c r="E8" s="69">
        <f t="shared" si="1"/>
        <v>5.1861383102620664</v>
      </c>
    </row>
    <row r="9" spans="1:5" x14ac:dyDescent="0.25">
      <c r="A9" s="67">
        <v>8</v>
      </c>
      <c r="B9" s="68">
        <v>7.0000000000000007E-2</v>
      </c>
      <c r="C9" s="69">
        <f t="shared" si="0"/>
        <v>0.30568952331438709</v>
      </c>
      <c r="D9" s="68">
        <v>7.0000000000000007E-2</v>
      </c>
      <c r="E9" s="69">
        <f t="shared" si="1"/>
        <v>1.2699352409754547</v>
      </c>
    </row>
    <row r="10" spans="1:5" x14ac:dyDescent="0.25">
      <c r="A10" s="67">
        <v>9</v>
      </c>
      <c r="B10" s="68">
        <v>0.03</v>
      </c>
      <c r="C10" s="69">
        <f t="shared" si="0"/>
        <v>0.12830331712177157</v>
      </c>
      <c r="D10" s="68">
        <v>0.03</v>
      </c>
      <c r="E10" s="69">
        <f t="shared" si="1"/>
        <v>0.85278258360421155</v>
      </c>
    </row>
    <row r="11" spans="1:5" x14ac:dyDescent="0.25">
      <c r="A11" s="67">
        <v>10</v>
      </c>
      <c r="B11" s="68">
        <v>0.55000000000000004</v>
      </c>
      <c r="C11" s="69">
        <f t="shared" si="0"/>
        <v>3.3635539015070415</v>
      </c>
      <c r="D11" s="68">
        <v>0.55000000000000004</v>
      </c>
      <c r="E11" s="69">
        <f t="shared" si="1"/>
        <v>2.9194311872607264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1177A-E968-42F9-85AF-0FB1AF7DB8A0}">
  <dimension ref="A1:I17"/>
  <sheetViews>
    <sheetView tabSelected="1" workbookViewId="0">
      <selection activeCell="M23" sqref="M23"/>
    </sheetView>
  </sheetViews>
  <sheetFormatPr defaultRowHeight="15" x14ac:dyDescent="0.25"/>
  <cols>
    <col min="1" max="1" width="11.7109375" customWidth="1"/>
    <col min="2" max="2" width="18.5703125" customWidth="1"/>
    <col min="3" max="3" width="11.42578125" customWidth="1"/>
    <col min="4" max="4" width="14.28515625" customWidth="1"/>
    <col min="5" max="5" width="15.7109375" customWidth="1"/>
    <col min="6" max="6" width="11.7109375" customWidth="1"/>
    <col min="7" max="7" width="16.28515625" customWidth="1"/>
    <col min="8" max="8" width="20.28515625" customWidth="1"/>
    <col min="9" max="9" width="29.5703125" customWidth="1"/>
  </cols>
  <sheetData>
    <row r="1" spans="1:9" x14ac:dyDescent="0.25">
      <c r="A1" s="64" t="s">
        <v>158</v>
      </c>
      <c r="B1" s="64" t="s">
        <v>159</v>
      </c>
      <c r="C1" s="64" t="s">
        <v>160</v>
      </c>
      <c r="D1" s="64" t="s">
        <v>161</v>
      </c>
      <c r="E1" s="64" t="s">
        <v>162</v>
      </c>
      <c r="F1" s="64" t="s">
        <v>163</v>
      </c>
      <c r="G1" s="64" t="s">
        <v>164</v>
      </c>
      <c r="H1" s="64" t="s">
        <v>165</v>
      </c>
    </row>
    <row r="2" spans="1:9" x14ac:dyDescent="0.25">
      <c r="A2" s="67">
        <v>1</v>
      </c>
      <c r="B2" s="70">
        <f>Sayfa6!C2</f>
        <v>0.58661359449666239</v>
      </c>
      <c r="C2" s="71">
        <f>B2</f>
        <v>0.58661359449666239</v>
      </c>
      <c r="D2" s="70">
        <f>Sayfa6!E2</f>
        <v>1.6298171370900347</v>
      </c>
      <c r="E2" s="71">
        <f>C2</f>
        <v>0.58661359449666239</v>
      </c>
      <c r="F2" s="70">
        <f>E2+D2</f>
        <v>2.2164307315866969</v>
      </c>
      <c r="G2" s="65">
        <v>0</v>
      </c>
      <c r="H2" s="71">
        <f>F2-C2</f>
        <v>1.6298171370900345</v>
      </c>
    </row>
    <row r="3" spans="1:9" x14ac:dyDescent="0.25">
      <c r="A3" s="67">
        <v>2</v>
      </c>
      <c r="B3" s="70">
        <f>Sayfa6!C3</f>
        <v>5.8394876205555617</v>
      </c>
      <c r="C3" s="71">
        <f>C2+B3</f>
        <v>6.4261012150522241</v>
      </c>
      <c r="D3" s="70">
        <f>Sayfa6!E3</f>
        <v>3.4847244427019644</v>
      </c>
      <c r="E3" s="71">
        <f>MAX(C3,F2)</f>
        <v>6.4261012150522241</v>
      </c>
      <c r="F3" s="70">
        <f>E3+D3</f>
        <v>9.910825657754188</v>
      </c>
      <c r="G3" s="65">
        <f>E3-C3</f>
        <v>0</v>
      </c>
      <c r="H3" s="71">
        <f t="shared" ref="H3:H11" si="0">F3-C3</f>
        <v>3.4847244427019639</v>
      </c>
    </row>
    <row r="4" spans="1:9" x14ac:dyDescent="0.25">
      <c r="A4" s="67">
        <v>3</v>
      </c>
      <c r="B4" s="70">
        <f>Sayfa6!C4</f>
        <v>0.88762018245851948</v>
      </c>
      <c r="C4" s="71">
        <f t="shared" ref="C4:C11" si="1">C3+B4</f>
        <v>7.3137213975107436</v>
      </c>
      <c r="D4" s="70">
        <f>Sayfa6!E4</f>
        <v>1.8857668160972347</v>
      </c>
      <c r="E4" s="71">
        <f t="shared" ref="E4:E11" si="2">MAX(C4,F3)</f>
        <v>9.910825657754188</v>
      </c>
      <c r="F4" s="70">
        <f t="shared" ref="F4:F11" si="3">E4+D4</f>
        <v>11.796592473851423</v>
      </c>
      <c r="G4" s="65">
        <f t="shared" ref="G4:G11" si="4">E4-C4</f>
        <v>2.5971042602434444</v>
      </c>
      <c r="H4" s="71">
        <f t="shared" si="0"/>
        <v>4.4828710763406789</v>
      </c>
    </row>
    <row r="5" spans="1:9" x14ac:dyDescent="0.25">
      <c r="A5" s="67">
        <v>4</v>
      </c>
      <c r="B5" s="70">
        <f>Sayfa6!C5</f>
        <v>2.6742976934960803</v>
      </c>
      <c r="C5" s="71">
        <f t="shared" si="1"/>
        <v>9.9880190910068229</v>
      </c>
      <c r="D5" s="70">
        <f>Sayfa6!E5</f>
        <v>2.7124720420371751</v>
      </c>
      <c r="E5" s="71">
        <f t="shared" si="2"/>
        <v>11.796592473851423</v>
      </c>
      <c r="F5" s="70">
        <f t="shared" si="3"/>
        <v>14.509064515888598</v>
      </c>
      <c r="G5" s="65">
        <f t="shared" si="4"/>
        <v>1.8085733828445996</v>
      </c>
      <c r="H5" s="71">
        <f t="shared" si="0"/>
        <v>4.5210454248817751</v>
      </c>
    </row>
    <row r="6" spans="1:9" x14ac:dyDescent="0.25">
      <c r="A6" s="67">
        <v>5</v>
      </c>
      <c r="B6" s="70">
        <f>Sayfa6!C6</f>
        <v>0.68457847303190789</v>
      </c>
      <c r="C6" s="71">
        <f t="shared" si="1"/>
        <v>10.67259756403873</v>
      </c>
      <c r="D6" s="70">
        <f>Sayfa6!E6</f>
        <v>1.7224736088213966</v>
      </c>
      <c r="E6" s="71">
        <f t="shared" si="2"/>
        <v>14.509064515888598</v>
      </c>
      <c r="F6" s="70">
        <f t="shared" si="3"/>
        <v>16.231538124709996</v>
      </c>
      <c r="G6" s="65">
        <f t="shared" si="4"/>
        <v>3.836466951849868</v>
      </c>
      <c r="H6" s="71">
        <f t="shared" si="0"/>
        <v>5.5589405606712656</v>
      </c>
    </row>
    <row r="7" spans="1:9" x14ac:dyDescent="0.25">
      <c r="A7" s="67">
        <v>6</v>
      </c>
      <c r="B7" s="70">
        <f>Sayfa6!C7</f>
        <v>0.68457847303190789</v>
      </c>
      <c r="C7" s="71">
        <f t="shared" si="1"/>
        <v>11.357176037070637</v>
      </c>
      <c r="D7" s="70">
        <f>Sayfa6!E7</f>
        <v>1.7224736088213966</v>
      </c>
      <c r="E7" s="71">
        <f t="shared" si="2"/>
        <v>16.231538124709996</v>
      </c>
      <c r="F7" s="70">
        <f t="shared" si="3"/>
        <v>17.954011733531392</v>
      </c>
      <c r="G7" s="65">
        <f t="shared" si="4"/>
        <v>4.8743620876393585</v>
      </c>
      <c r="H7" s="71">
        <f t="shared" si="0"/>
        <v>6.5968356964607544</v>
      </c>
    </row>
    <row r="8" spans="1:9" x14ac:dyDescent="0.25">
      <c r="A8" s="67">
        <v>7</v>
      </c>
      <c r="B8" s="70">
        <f>Sayfa6!C8</f>
        <v>19.398357986470472</v>
      </c>
      <c r="C8" s="71">
        <f t="shared" si="1"/>
        <v>30.755534023541109</v>
      </c>
      <c r="D8" s="70">
        <f>Sayfa6!E8</f>
        <v>5.1861383102620664</v>
      </c>
      <c r="E8" s="71">
        <f t="shared" si="2"/>
        <v>30.755534023541109</v>
      </c>
      <c r="F8" s="70">
        <f t="shared" si="3"/>
        <v>35.941672333803176</v>
      </c>
      <c r="G8" s="65">
        <f t="shared" si="4"/>
        <v>0</v>
      </c>
      <c r="H8" s="71">
        <f t="shared" si="0"/>
        <v>5.1861383102620664</v>
      </c>
    </row>
    <row r="9" spans="1:9" x14ac:dyDescent="0.25">
      <c r="A9" s="67">
        <v>8</v>
      </c>
      <c r="B9" s="70">
        <f>Sayfa6!C9</f>
        <v>0.30568952331438709</v>
      </c>
      <c r="C9" s="71">
        <f t="shared" si="1"/>
        <v>31.061223546855498</v>
      </c>
      <c r="D9" s="70">
        <f>Sayfa6!E9</f>
        <v>1.2699352409754547</v>
      </c>
      <c r="E9" s="71">
        <f t="shared" si="2"/>
        <v>35.941672333803176</v>
      </c>
      <c r="F9" s="70">
        <f t="shared" si="3"/>
        <v>37.211607574778633</v>
      </c>
      <c r="G9" s="65">
        <f t="shared" si="4"/>
        <v>4.880448786947678</v>
      </c>
      <c r="H9" s="71">
        <f t="shared" si="0"/>
        <v>6.1503840279231348</v>
      </c>
    </row>
    <row r="10" spans="1:9" x14ac:dyDescent="0.25">
      <c r="A10" s="67">
        <v>9</v>
      </c>
      <c r="B10" s="70">
        <f>Sayfa6!C10</f>
        <v>0.12830331712177157</v>
      </c>
      <c r="C10" s="71">
        <f t="shared" si="1"/>
        <v>31.189526863977271</v>
      </c>
      <c r="D10" s="70">
        <f>Sayfa6!E10</f>
        <v>0.85278258360421155</v>
      </c>
      <c r="E10" s="71">
        <f t="shared" si="2"/>
        <v>37.211607574778633</v>
      </c>
      <c r="F10" s="70">
        <f t="shared" si="3"/>
        <v>38.064390158382842</v>
      </c>
      <c r="G10" s="65">
        <f t="shared" si="4"/>
        <v>6.0220807108013616</v>
      </c>
      <c r="H10" s="71">
        <f t="shared" si="0"/>
        <v>6.8748632944055714</v>
      </c>
    </row>
    <row r="11" spans="1:9" x14ac:dyDescent="0.25">
      <c r="A11" s="67">
        <v>10</v>
      </c>
      <c r="B11" s="70">
        <f>Sayfa6!C11</f>
        <v>3.3635539015070415</v>
      </c>
      <c r="C11" s="71">
        <f t="shared" si="1"/>
        <v>34.55308076548431</v>
      </c>
      <c r="D11" s="70">
        <f>Sayfa6!E11</f>
        <v>2.9194311872607264</v>
      </c>
      <c r="E11" s="71">
        <f t="shared" si="2"/>
        <v>38.064390158382842</v>
      </c>
      <c r="F11" s="70">
        <f t="shared" si="3"/>
        <v>40.98382134564357</v>
      </c>
      <c r="G11" s="65">
        <f t="shared" si="4"/>
        <v>3.5113093928985322</v>
      </c>
      <c r="H11" s="71">
        <f t="shared" si="0"/>
        <v>6.4307405801592594</v>
      </c>
    </row>
    <row r="13" spans="1:9" x14ac:dyDescent="0.25">
      <c r="I13" s="73" t="s">
        <v>167</v>
      </c>
    </row>
    <row r="14" spans="1:9" x14ac:dyDescent="0.25">
      <c r="I14" s="66">
        <f>AVERAGE(B2:B11)</f>
        <v>3.4553080765484312</v>
      </c>
    </row>
    <row r="16" spans="1:9" x14ac:dyDescent="0.25">
      <c r="I16" s="73" t="s">
        <v>166</v>
      </c>
    </row>
    <row r="17" spans="9:9" x14ac:dyDescent="0.25">
      <c r="I17" s="66">
        <f>AVERAGE(H2:H11)</f>
        <v>5.0916360550896504</v>
      </c>
    </row>
  </sheetData>
  <conditionalFormatting sqref="G2:G11">
    <cfRule type="cellIs" dxfId="0" priority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7</vt:i4>
      </vt:variant>
    </vt:vector>
  </HeadingPairs>
  <TitlesOfParts>
    <vt:vector size="7" baseType="lpstr">
      <vt:lpstr>Sayfa1</vt:lpstr>
      <vt:lpstr>Sayfa2</vt:lpstr>
      <vt:lpstr>Sayfa3</vt:lpstr>
      <vt:lpstr>Sayfa4</vt:lpstr>
      <vt:lpstr>Sayfa5</vt:lpstr>
      <vt:lpstr>Sayfa6</vt:lpstr>
      <vt:lpstr>Sayfa7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Furkan Kesicioğlu</dc:creator>
  <cp:lastModifiedBy>Furkan Kesicioğlu</cp:lastModifiedBy>
  <dcterms:created xsi:type="dcterms:W3CDTF">2015-06-05T18:19:34Z</dcterms:created>
  <dcterms:modified xsi:type="dcterms:W3CDTF">2025-12-15T11:36:11Z</dcterms:modified>
</cp:coreProperties>
</file>